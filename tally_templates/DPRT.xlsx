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716" windowHeight="9084"/>
  </bookViews>
  <sheets>
    <sheet sheetId="16" name="Final Work" state="visible" r:id="rId4"/>
    <sheet sheetId="2" name="Time Sheet" state="visible" r:id="rId5"/>
    <sheet sheetId="17" name="OS-IN" state="visible" r:id="rId6"/>
    <sheet sheetId="15" name="DM-IN" state="visible" r:id="rId7"/>
    <sheet sheetId="18" name="OS-OUT" state="visible" r:id="rId8"/>
    <sheet sheetId="11" name="DM-OUT" state="visible" r:id="rId9"/>
    <sheet sheetId="9" name="Act. Cntr-Seal No List" state="visible" r:id="rId10"/>
    <sheet sheetId="10" name="RF Condition Report" state="visible" r:id="rId11"/>
    <sheet sheetId="19" name="Performance" state="visible" r:id="rId12"/>
  </sheets>
  <calcPr calcId="171027"/>
</workbook>
</file>

<file path=xl/sharedStrings.xml><?xml version="1.0" encoding="utf-8"?>
<sst xmlns="http://schemas.openxmlformats.org/spreadsheetml/2006/main" count="507" uniqueCount="178">
  <si>
    <t xml:space="preserve">GREEN  MARINE  CO.,  LTD.  </t>
  </si>
  <si>
    <t>FINAL  WORKING  REPORT (VOUCHER)</t>
  </si>
  <si>
    <t xml:space="preserve">M / V : </t>
  </si>
  <si>
    <t>PEGASUS PROTO</t>
  </si>
  <si>
    <t xml:space="preserve">VOY # : </t>
  </si>
  <si>
    <t>DATE :</t>
  </si>
  <si>
    <t xml:space="preserve">PIER  : </t>
  </si>
  <si>
    <t>BERTH :</t>
  </si>
  <si>
    <t>PORT :</t>
  </si>
  <si>
    <t xml:space="preserve"> PYEONGTAEK, KOREA</t>
  </si>
  <si>
    <t>OPERATOR</t>
  </si>
  <si>
    <t>PORT</t>
  </si>
  <si>
    <t xml:space="preserve"> FULL   (F)</t>
  </si>
  <si>
    <t xml:space="preserve"> EMPTY(E)</t>
  </si>
  <si>
    <t>20'</t>
  </si>
  <si>
    <t>40'</t>
  </si>
  <si>
    <r>
      <t>H</t>
    </r>
    <r>
      <rPr>
        <charset val="129"/>
        <color theme="1"/>
        <family val="3"/>
        <scheme val="minor"/>
        <sz val="10"/>
        <rFont val="맑은 고딕"/>
      </rPr>
      <t>C</t>
    </r>
  </si>
  <si>
    <t>45'</t>
  </si>
  <si>
    <t>F</t>
  </si>
  <si>
    <t>E</t>
  </si>
  <si>
    <t>Total</t>
  </si>
  <si>
    <t>Remarks : Discharging</t>
  </si>
  <si>
    <t>Remarks : Loading</t>
  </si>
  <si>
    <t>CHIEF CHECKER</t>
  </si>
  <si>
    <t>CHIEF OFFICER</t>
  </si>
  <si>
    <t>GREEN MARINE CO., LTD.</t>
  </si>
  <si>
    <t>PYEONGTAEK, KOREA</t>
  </si>
  <si>
    <t>T I M E    S H E E T</t>
  </si>
  <si>
    <r>
      <t>M / V</t>
    </r>
    <r>
      <rPr>
        <b/>
        <charset val="129"/>
        <family val="3"/>
        <scheme val="minor"/>
        <sz val="11"/>
        <rFont val="맑은 고딕"/>
      </rPr>
      <t>:</t>
    </r>
  </si>
  <si>
    <t>VOY # :</t>
  </si>
  <si>
    <r>
      <t xml:space="preserve">PIER </t>
    </r>
    <r>
      <rPr>
        <b/>
        <charset val="129"/>
        <family val="3"/>
        <scheme val="minor"/>
        <sz val="11"/>
        <rFont val="맑은 고딕"/>
      </rPr>
      <t>:</t>
    </r>
    <r>
      <rPr>
        <charset val="129"/>
        <family val="3"/>
        <scheme val="minor"/>
        <sz val="11"/>
        <rFont val="맑은 고딕"/>
      </rPr>
      <t xml:space="preserve">  </t>
    </r>
  </si>
  <si>
    <r>
      <t xml:space="preserve">BERTH </t>
    </r>
    <r>
      <rPr>
        <b/>
        <charset val="129"/>
        <family val="3"/>
        <scheme val="minor"/>
        <sz val="11"/>
        <rFont val="맑은 고딕"/>
      </rPr>
      <t>:</t>
    </r>
  </si>
  <si>
    <t>WEATHER :</t>
  </si>
  <si>
    <r>
      <t xml:space="preserve">PORT : </t>
    </r>
    <r>
      <rPr>
        <u/>
        <charset val="129"/>
        <family val="3"/>
        <scheme val="minor"/>
        <sz val="11"/>
        <rFont val="맑은 고딕"/>
      </rPr>
      <t>PYEONGTAEK, KOREA</t>
    </r>
  </si>
  <si>
    <r>
      <t>T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I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M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E</t>
    </r>
  </si>
  <si>
    <r>
      <t>R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E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M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A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R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K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S</t>
    </r>
  </si>
  <si>
    <t>24th</t>
  </si>
  <si>
    <t>25th</t>
  </si>
  <si>
    <t xml:space="preserve"> CARGO  OVERAGE &amp; SHORTAGE  REPORT  (DISCH)</t>
  </si>
  <si>
    <r>
      <t xml:space="preserve">M / V </t>
    </r>
    <r>
      <rPr>
        <b/>
        <charset val="129"/>
        <family val="3"/>
        <scheme val="minor"/>
        <sz val="12"/>
        <rFont val="맑은 고딕"/>
      </rPr>
      <t xml:space="preserve"> :</t>
    </r>
  </si>
  <si>
    <r>
      <t>VOY. NO.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</si>
  <si>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DATE 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</si>
  <si>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PORT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 xml:space="preserve"> </t>
    </r>
    <r>
      <rPr>
        <charset val="6"/>
        <family val="3"/>
        <sz val="12"/>
        <rFont val="돋움"/>
      </rPr>
      <t/>
    </r>
  </si>
  <si>
    <r>
      <t xml:space="preserve">PIER   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</si>
  <si>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BERTH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</si>
  <si>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t>B/L NO.</t>
  </si>
  <si>
    <t>MARKS (PORT)</t>
  </si>
  <si>
    <t>DESCRIPTION</t>
  </si>
  <si>
    <t>TYPE OF</t>
  </si>
  <si>
    <t>MANIFESTED</t>
  </si>
  <si>
    <t>DISCHARGED</t>
  </si>
  <si>
    <t>OVER</t>
  </si>
  <si>
    <t>SHORT</t>
  </si>
  <si>
    <t>REMARKS</t>
  </si>
  <si>
    <t>PKGS</t>
  </si>
  <si>
    <t>T O T A L</t>
  </si>
  <si>
    <t>VAN</t>
  </si>
  <si>
    <t>NIL</t>
  </si>
  <si>
    <r>
      <t xml:space="preserve">  </t>
    </r>
    <r>
      <rPr>
        <u/>
        <charset val="129"/>
        <family val="3"/>
        <scheme val="minor"/>
        <sz val="10"/>
        <rFont val="맑은 고딕"/>
      </rPr>
      <t>REMARKS</t>
    </r>
  </si>
  <si>
    <t>STEVEDORE  PCTC</t>
  </si>
  <si>
    <t xml:space="preserve"> CARGO  DAMAGE  REPORT </t>
  </si>
  <si>
    <r>
      <t xml:space="preserve">M / V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 </t>
    </r>
  </si>
  <si>
    <r>
      <t xml:space="preserve">VOY. NO. </t>
    </r>
    <r>
      <rPr>
        <b/>
        <charset val="129"/>
        <family val="3"/>
        <scheme val="minor"/>
        <sz val="12"/>
        <rFont val="맑은 고딕"/>
      </rPr>
      <t>:</t>
    </r>
  </si>
  <si>
    <t>2608N</t>
  </si>
  <si>
    <r>
      <t xml:space="preserve">DATE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</si>
  <si>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PORT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</si>
  <si>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r>
      <t xml:space="preserve">PIER     </t>
    </r>
    <r>
      <rPr>
        <b/>
        <charset val="129"/>
        <family val="3"/>
        <scheme val="minor"/>
        <sz val="12"/>
        <rFont val="맑은 고딕"/>
      </rPr>
      <t>:</t>
    </r>
  </si>
  <si>
    <t>PCTC</t>
  </si>
  <si>
    <r>
      <t xml:space="preserve">BERTH </t>
    </r>
    <r>
      <rPr>
        <b/>
        <charset val="129"/>
        <family val="3"/>
        <scheme val="minor"/>
        <sz val="12"/>
        <rFont val="맑은 고딕"/>
      </rPr>
      <t>:</t>
    </r>
  </si>
  <si>
    <t>MARKS</t>
  </si>
  <si>
    <t>CONTENTS</t>
  </si>
  <si>
    <t>NO. OF</t>
  </si>
  <si>
    <t>TYPE</t>
  </si>
  <si>
    <t>EXCEPTION  ( Found In Stow )</t>
  </si>
  <si>
    <t xml:space="preserve"> CARGO  OVERAGE &amp; SHORTAGE  REPORT  (LOAD)</t>
  </si>
  <si>
    <r>
      <t>PORT</t>
    </r>
    <r>
      <rPr>
        <b/>
        <charset val="129"/>
        <family val="3"/>
        <scheme val="minor"/>
        <sz val="12"/>
        <rFont val="맑은 고딕"/>
      </rPr>
      <t xml:space="preserve"> : </t>
    </r>
    <r>
      <rPr>
        <b/>
        <charset val="129"/>
        <family val="3"/>
        <scheme val="minor"/>
        <sz val="11"/>
        <rFont val="맑은 고딕"/>
      </rPr>
      <t xml:space="preserve"> </t>
    </r>
    <r>
      <rPr>
        <charset val="6"/>
        <family val="3"/>
        <sz val="12"/>
        <rFont val="돋움"/>
      </rPr>
      <t/>
    </r>
  </si>
  <si>
    <t>LOADED</t>
  </si>
  <si>
    <t>2609S</t>
  </si>
  <si>
    <r>
      <t xml:space="preserve">BERTH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</si>
  <si>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t>EXCEPTION  ( Prior To Load )</t>
  </si>
  <si>
    <t>NO EXCEPTION</t>
  </si>
  <si>
    <r>
      <t xml:space="preserve">M / V </t>
    </r>
    <r>
      <rPr>
        <b/>
        <charset val="129"/>
        <family val="3"/>
        <scheme val="minor"/>
        <sz val="12"/>
        <rFont val="맑은 고딕"/>
      </rPr>
      <t>:</t>
    </r>
  </si>
  <si>
    <t>DATE  :</t>
  </si>
  <si>
    <r>
      <t xml:space="preserve">VOY # </t>
    </r>
    <r>
      <rPr>
        <b/>
        <charset val="129"/>
        <family val="3"/>
        <scheme val="minor"/>
        <sz val="12"/>
        <rFont val="맑은 고딕"/>
      </rPr>
      <t>:</t>
    </r>
  </si>
  <si>
    <t xml:space="preserve"> </t>
  </si>
  <si>
    <t>PORT  :</t>
  </si>
  <si>
    <t>ACTUAL  CONTAINER &amp; SEAL  NUMBER  LIST</t>
  </si>
  <si>
    <t>DISCH.</t>
  </si>
  <si>
    <t>MANIFEST</t>
  </si>
  <si>
    <t>SIZE</t>
  </si>
  <si>
    <t>ACTUAL</t>
  </si>
  <si>
    <t>RESEAL NO.</t>
  </si>
  <si>
    <t>CONT'R NO.</t>
  </si>
  <si>
    <t>SEAL NO.</t>
  </si>
  <si>
    <t>20FT</t>
  </si>
  <si>
    <t>EMPTY</t>
  </si>
  <si>
    <t>FULL</t>
  </si>
  <si>
    <t>40FT</t>
  </si>
  <si>
    <t>TOTAL</t>
  </si>
  <si>
    <t>LOAD.</t>
  </si>
  <si>
    <t>-NIL-</t>
  </si>
  <si>
    <t>REEFER  CONTAINER  CONDITION  REPORT</t>
  </si>
  <si>
    <t>Discharging  /  Loading</t>
  </si>
  <si>
    <t>( 1/1 )</t>
  </si>
  <si>
    <t>M / V : PEGASUS PROTO</t>
  </si>
  <si>
    <t>PIER   : PCTC</t>
  </si>
  <si>
    <r>
      <t xml:space="preserve"> </t>
    </r>
    <r>
      <rPr>
        <u/>
        <charset val="129"/>
        <family val="3"/>
        <scheme val="minor"/>
        <sz val="12"/>
        <rFont val="맑은 고딕"/>
      </rPr>
      <t>PYEONGTAEK, KOREA</t>
    </r>
  </si>
  <si>
    <t>CONTAINER NO.</t>
  </si>
  <si>
    <t>LOCATION</t>
  </si>
  <si>
    <t>TEMPERATURE</t>
  </si>
  <si>
    <t>TIME</t>
  </si>
  <si>
    <t>Bay/Slot/Tier</t>
  </si>
  <si>
    <t>Setting</t>
  </si>
  <si>
    <t>Actual</t>
  </si>
  <si>
    <t>Plug In / Out</t>
  </si>
  <si>
    <t>STEVEDORE PCTC</t>
  </si>
  <si>
    <t>( 2/2 )</t>
  </si>
  <si>
    <t>2601N</t>
  </si>
  <si>
    <t>PIER : PCTC</t>
  </si>
  <si>
    <t>40'RH</t>
  </si>
  <si>
    <t>16:20 HR'S</t>
  </si>
  <si>
    <t>BKK-DJS</t>
  </si>
  <si>
    <t>"</t>
  </si>
  <si>
    <t>SGN-DJS</t>
  </si>
  <si>
    <t>LCH-DJS</t>
  </si>
  <si>
    <t>SGN-SKR</t>
  </si>
  <si>
    <t>SGN-HAS</t>
  </si>
  <si>
    <t>SGN-NSL</t>
  </si>
  <si>
    <t xml:space="preserve">  &lt; CY 보관지침 &gt; </t>
  </si>
  <si>
    <t xml:space="preserve">     1. 최초 화주로 부터 지정된 온도(SETTING 온도를 말하며 수입목록 혹은 BAY PLAN에</t>
  </si>
  <si>
    <t xml:space="preserve">        표기된 온도)는 그 적정 온도를 유지하고 있는지 4시간마다 확인하여 기록 보관해야한다.</t>
  </si>
  <si>
    <t xml:space="preserve">     2. 온도를 지정하는 지시 및 표기가 없을 경우 일반적으로 채용되고 있는 </t>
  </si>
  <si>
    <t xml:space="preserve">        냉동/냉장 화물의 운송온도를 기준으로 한다.</t>
  </si>
  <si>
    <t xml:space="preserve">     3. 만일 온도 이상 및 기타 기기의 이상이 발견될 시는 즉시 OPERATOR에게 통보하여야한다.</t>
  </si>
  <si>
    <t>FBIU5812279</t>
  </si>
  <si>
    <t>05:30 HR'S</t>
  </si>
  <si>
    <t>NSS</t>
  </si>
  <si>
    <t>OTPU6655080</t>
  </si>
  <si>
    <t>SEKU9252223</t>
  </si>
  <si>
    <t>SZLU9631437</t>
  </si>
  <si>
    <t>SZLU9710840</t>
  </si>
  <si>
    <t>GREEN MARINE CO., LTD</t>
  </si>
  <si>
    <t>PERFORMANCE REPORT</t>
  </si>
  <si>
    <r>
      <t xml:space="preserve">M/V  </t>
    </r>
    <r>
      <rPr>
        <b/>
        <charset val="129"/>
        <family val="3"/>
        <scheme val="minor"/>
        <sz val="10"/>
        <rFont val="맑은 고딕"/>
      </rPr>
      <t>:</t>
    </r>
  </si>
  <si>
    <t>2608N &amp; 2609S</t>
  </si>
  <si>
    <r>
      <t xml:space="preserve">PIER </t>
    </r>
    <r>
      <rPr>
        <b/>
        <charset val="129"/>
        <family val="3"/>
        <scheme val="minor"/>
        <sz val="10"/>
        <rFont val="맑은 고딕"/>
      </rPr>
      <t>:</t>
    </r>
  </si>
  <si>
    <t xml:space="preserve"> PORT :</t>
  </si>
  <si>
    <t>Status</t>
  </si>
  <si>
    <t xml:space="preserve"> Description</t>
  </si>
  <si>
    <t>HC</t>
  </si>
  <si>
    <t>IN BOUND</t>
  </si>
  <si>
    <t>20'RF x 1 , RH x 7</t>
  </si>
  <si>
    <t>RH x 5</t>
  </si>
  <si>
    <t>RH x 4</t>
  </si>
  <si>
    <t>20'RF x 1 , RH x 4</t>
  </si>
  <si>
    <t>S-TOTAL</t>
  </si>
  <si>
    <t>OUT BOUND</t>
  </si>
  <si>
    <t>20'DG x 5</t>
  </si>
  <si>
    <t>20'DG x 14(TK x 11)</t>
  </si>
  <si>
    <t>SHIFT</t>
  </si>
  <si>
    <t>1 TIME</t>
  </si>
  <si>
    <t>GRAND TOTAL</t>
  </si>
  <si>
    <t># WORKING PERIOD</t>
  </si>
  <si>
    <t>CRANE NO.</t>
  </si>
  <si>
    <t>FROM</t>
  </si>
  <si>
    <t>TO</t>
  </si>
  <si>
    <t>HOURS</t>
  </si>
  <si>
    <t>#2 (G/C)</t>
  </si>
  <si>
    <t>COMMENCED DISCH.</t>
  </si>
  <si>
    <t>DISCH. OF CONT'R</t>
  </si>
  <si>
    <t>COMPLETED DISCH.</t>
  </si>
  <si>
    <t>MEAL TIME</t>
  </si>
  <si>
    <t>COMMENCED LOAD</t>
  </si>
  <si>
    <t>LOAD OF CONT'R</t>
  </si>
  <si>
    <t>TEA TIME</t>
  </si>
  <si>
    <t>COMPLETED LOAD. &amp; GANG K/OFF</t>
  </si>
  <si>
    <t>#3 (G/C)</t>
  </si>
  <si>
    <t>#4 (G/C)</t>
  </si>
</sst>
</file>

<file path=xl/styles.xml><?xml version="1.0" encoding="utf-8"?>
<styleSheet xmlns="http://schemas.openxmlformats.org/spreadsheetml/2006/main" xmlns:mc="http://schemas.openxmlformats.org/markup-compatibility/2006" xmlns:ns3="http://schemas.microsoft.com/office/spreadsheetml/2009/9/main" xmlns:ns4="http://schemas.microsoft.com/office/spreadsheetml/2010/11/main" xmlns:x14ac="http://schemas.microsoft.com/office/spreadsheetml/2009/9/ac" mc:Ignorable="x14ac x16r2">
  <numFmts count="7">
    <numFmt numFmtId="164" formatCode="_ * #,##0_ ;_ * -#,##0_ ;_ * &quot;-&quot;_ ;_ @_ "/>
    <numFmt numFmtId="165" formatCode="_-* #,##0_-;-* #,##0_-;_-* &quot;-&quot;_-;_-@_-"/>
    <numFmt numFmtId="166" formatCode="mm&quot;월&quot; dd&quot;일&quot;"/>
    <numFmt numFmtId="167" formatCode="0.0℃"/>
    <numFmt numFmtId="168" formatCode="hhmm&quot;HRS&quot;"/>
    <numFmt numFmtId="169" formatCode="0_ "/>
    <numFmt numFmtId="170" formatCode="hh:mm&quot; HRS&quot;"/>
  </numFmts>
  <fonts count="21" x14ac:knownFonts="1">
    <font>
      <color theme="1"/>
      <family val="2"/>
      <scheme val="minor"/>
      <sz val="11"/>
      <name val="Calibri"/>
    </font>
    <font>
      <charset val="129"/>
      <family val="3"/>
      <scheme val="minor"/>
      <sz val="12"/>
      <name val="맑은 고딕"/>
    </font>
    <font>
      <charset val="129"/>
      <color theme="1"/>
      <family val="3"/>
      <scheme val="minor"/>
      <sz val="11"/>
      <name val="맑은 고딕"/>
    </font>
    <font>
      <b/>
      <charset val="129"/>
      <family val="3"/>
      <scheme val="minor"/>
      <sz val="22"/>
      <name val="맑은 고딕"/>
    </font>
    <font>
      <b/>
      <charset val="129"/>
      <family val="3"/>
      <scheme val="minor"/>
      <sz val="18"/>
      <name val="맑은 고딕"/>
    </font>
    <font>
      <charset val="129"/>
      <family val="3"/>
      <scheme val="minor"/>
      <sz val="11"/>
      <name val="맑은 고딕"/>
    </font>
    <font>
      <charset val="129"/>
      <family val="3"/>
      <scheme val="minor"/>
      <sz val="10"/>
      <name val="맑은 고딕"/>
    </font>
    <font>
      <charset val="129"/>
      <family val="3"/>
      <scheme val="minor"/>
      <sz val="9"/>
      <name val="맑은 고딕"/>
    </font>
    <font>
      <b/>
      <charset val="129"/>
      <family val="3"/>
      <scheme val="minor"/>
      <sz val="14"/>
      <name val="맑은 고딕"/>
    </font>
    <font>
      <b/>
      <u/>
      <charset val="129"/>
      <family val="3"/>
      <scheme val="minor"/>
      <sz val="18"/>
      <name val="맑은 고딕"/>
    </font>
    <font>
      <b/>
      <charset val="129"/>
      <family val="3"/>
      <scheme val="minor"/>
      <sz val="10"/>
      <name val="맑은 고딕"/>
    </font>
    <font>
      <u/>
      <charset val="129"/>
      <family val="3"/>
      <scheme val="minor"/>
      <sz val="10"/>
      <name val="맑은 고딕"/>
    </font>
    <font>
      <b/>
      <charset val="129"/>
      <color indexed="8"/>
      <family val="3"/>
      <scheme val="minor"/>
      <sz val="18"/>
      <name val="맑은 고딕"/>
    </font>
    <font>
      <charset val="129"/>
      <color indexed="8"/>
      <family val="3"/>
      <scheme val="minor"/>
      <sz val="10"/>
      <name val="맑은 고딕"/>
    </font>
    <font>
      <charset val="129"/>
      <family val="3"/>
      <scheme val="minor"/>
      <sz val="22"/>
      <name val="맑은 고딕"/>
    </font>
    <font>
      <charset val="129"/>
      <color rgb="FF000000"/>
      <family val="3"/>
      <scheme val="minor"/>
      <sz val="10"/>
      <name val="맑은 고딕"/>
    </font>
    <font>
      <charset val="129"/>
      <color theme="1"/>
      <family val="3"/>
      <scheme val="minor"/>
      <sz val="10"/>
      <name val="맑은 고딕"/>
    </font>
    <font>
      <charset val="129"/>
      <color indexed="8"/>
      <family val="3"/>
      <scheme val="minor"/>
      <sz val="9"/>
      <name val="맑은 고딕"/>
    </font>
    <font>
      <b/>
      <charset val="129"/>
      <family val="3"/>
      <scheme val="minor"/>
      <sz val="9"/>
      <name val="맑은 고딕"/>
    </font>
    <font>
      <charset val="129"/>
      <family val="3"/>
      <scheme val="minor"/>
      <sz val="7"/>
      <name val="맑은 고딕"/>
    </font>
    <font>
      <u/>
      <charset val="129"/>
      <family val="3"/>
      <scheme val="minor"/>
      <sz val="11"/>
      <name val="맑은 고딕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108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medium">
        <color indexed="64"/>
      </right>
      <top style="thin"/>
      <bottom style="thin"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/>
      <right/>
      <top style="thin"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medium"/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96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1" fillId="0" borderId="0" xfId="0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5" fillId="0" borderId="0" xfId="0" applyFont="1"/>
    <xf numFmtId="164" fontId="1" fillId="0" borderId="0" xfId="0" applyNumberFormat="1" applyFont="1" applyAlignment="1">
      <alignment horizontal="right"/>
    </xf>
    <xf numFmtId="0" fontId="5" fillId="0" borderId="0" xfId="0" applyFont="1" applyAlignment="1">
      <alignment horizontal="center" vertical="center" shrinkToFi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vertical="center" shrinkToFit="1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vertical="center" shrinkToFit="1"/>
    </xf>
    <xf numFmtId="164" fontId="6" fillId="0" borderId="16" xfId="0" applyNumberFormat="1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21" xfId="0" applyFont="1" applyBorder="1" applyAlignment="1">
      <alignment horizontal="center" vertical="center" shrinkToFit="1"/>
    </xf>
    <xf numFmtId="0" fontId="7" fillId="0" borderId="22" xfId="0" applyFont="1" applyBorder="1" applyAlignment="1">
      <alignment horizontal="center" vertical="center" shrinkToFit="1"/>
    </xf>
    <xf numFmtId="164" fontId="7" fillId="0" borderId="23" xfId="0" applyNumberFormat="1" applyFont="1" applyBorder="1" applyAlignment="1">
      <alignment horizontal="center" vertical="center" shrinkToFit="1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 shrinkToFit="1"/>
    </xf>
    <xf numFmtId="0" fontId="7" fillId="0" borderId="30" xfId="0" applyFont="1" applyBorder="1" applyAlignment="1">
      <alignment horizontal="center" vertical="center" shrinkToFit="1"/>
    </xf>
    <xf numFmtId="164" fontId="7" fillId="0" borderId="31" xfId="0" applyNumberFormat="1" applyFont="1" applyBorder="1" applyAlignment="1">
      <alignment horizontal="center" vertical="center" shrinkToFit="1"/>
    </xf>
    <xf numFmtId="0" fontId="7" fillId="0" borderId="32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 shrinkToFit="1"/>
    </xf>
    <xf numFmtId="164" fontId="7" fillId="0" borderId="1" xfId="0" applyNumberFormat="1" applyFont="1" applyBorder="1" applyAlignment="1">
      <alignment horizontal="center" vertical="center" shrinkToFit="1"/>
    </xf>
    <xf numFmtId="0" fontId="7" fillId="0" borderId="3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 shrinkToFit="1"/>
    </xf>
    <xf numFmtId="164" fontId="7" fillId="0" borderId="37" xfId="0" applyNumberFormat="1" applyFont="1" applyBorder="1" applyAlignment="1">
      <alignment horizontal="center" vertical="center" shrinkToFit="1"/>
    </xf>
    <xf numFmtId="0" fontId="7" fillId="0" borderId="38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 shrinkToFit="1"/>
    </xf>
    <xf numFmtId="164" fontId="7" fillId="0" borderId="44" xfId="0" applyNumberFormat="1" applyFont="1" applyBorder="1" applyAlignment="1">
      <alignment horizontal="center" vertical="center" shrinkToFit="1"/>
    </xf>
    <xf numFmtId="0" fontId="7" fillId="0" borderId="4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 shrinkToFit="1"/>
    </xf>
    <xf numFmtId="0" fontId="7" fillId="0" borderId="37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 shrinkToFit="1"/>
    </xf>
    <xf numFmtId="164" fontId="7" fillId="0" borderId="46" xfId="0" applyNumberFormat="1" applyFont="1" applyBorder="1" applyAlignment="1">
      <alignment horizontal="center" vertical="center" shrinkToFit="1"/>
    </xf>
    <xf numFmtId="0" fontId="7" fillId="0" borderId="50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0" borderId="29" xfId="0" applyFont="1" applyBorder="1" applyAlignment="1">
      <alignment vertical="center" shrinkToFit="1"/>
    </xf>
    <xf numFmtId="0" fontId="7" fillId="0" borderId="33" xfId="0" applyFont="1" applyBorder="1" applyAlignment="1">
      <alignment horizontal="center" vertical="center" shrinkToFit="1"/>
    </xf>
    <xf numFmtId="0" fontId="7" fillId="0" borderId="52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 shrinkToFit="1"/>
    </xf>
    <xf numFmtId="0" fontId="6" fillId="0" borderId="11" xfId="0" applyFont="1" applyBorder="1" applyAlignment="1">
      <alignment horizontal="center" vertical="center" shrinkToFit="1"/>
    </xf>
    <xf numFmtId="0" fontId="6" fillId="0" borderId="12" xfId="0" applyFont="1" applyBorder="1" applyAlignment="1">
      <alignment horizontal="center" vertical="center" shrinkToFit="1"/>
    </xf>
    <xf numFmtId="165" fontId="7" fillId="0" borderId="7" xfId="0" applyNumberFormat="1" applyFont="1" applyBorder="1" applyAlignment="1">
      <alignment horizontal="center" vertical="center"/>
    </xf>
    <xf numFmtId="165" fontId="7" fillId="0" borderId="11" xfId="0" applyNumberFormat="1" applyFont="1" applyBorder="1" applyAlignment="1">
      <alignment horizontal="center" vertical="center"/>
    </xf>
    <xf numFmtId="165" fontId="7" fillId="0" borderId="12" xfId="0" applyNumberFormat="1" applyFont="1" applyBorder="1" applyAlignment="1">
      <alignment horizontal="center" vertical="center"/>
    </xf>
    <xf numFmtId="165" fontId="7" fillId="0" borderId="56" xfId="0" applyNumberFormat="1" applyFont="1" applyBorder="1" applyAlignment="1">
      <alignment horizontal="center" vertical="center"/>
    </xf>
    <xf numFmtId="165" fontId="7" fillId="0" borderId="9" xfId="0" applyNumberFormat="1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 shrinkToFit="1"/>
    </xf>
    <xf numFmtId="0" fontId="6" fillId="0" borderId="39" xfId="0" applyFont="1" applyBorder="1" applyAlignment="1">
      <alignment horizontal="center" vertical="center" shrinkToFit="1"/>
    </xf>
    <xf numFmtId="0" fontId="6" fillId="0" borderId="40" xfId="0" applyFont="1" applyBorder="1" applyAlignment="1">
      <alignment horizontal="center" vertical="center" shrinkToFit="1"/>
    </xf>
    <xf numFmtId="165" fontId="7" fillId="0" borderId="57" xfId="0" applyNumberFormat="1" applyFont="1" applyBorder="1" applyAlignment="1">
      <alignment horizontal="center" vertical="center"/>
    </xf>
    <xf numFmtId="165" fontId="7" fillId="0" borderId="39" xfId="0" applyNumberFormat="1" applyFont="1" applyBorder="1" applyAlignment="1">
      <alignment horizontal="center" vertical="center"/>
    </xf>
    <xf numFmtId="165" fontId="7" fillId="0" borderId="40" xfId="0" applyNumberFormat="1" applyFont="1" applyBorder="1" applyAlignment="1">
      <alignment horizontal="center" vertical="center"/>
    </xf>
    <xf numFmtId="165" fontId="7" fillId="0" borderId="38" xfId="0" applyNumberFormat="1" applyFont="1" applyBorder="1" applyAlignment="1">
      <alignment horizontal="center" vertical="center"/>
    </xf>
    <xf numFmtId="165" fontId="7" fillId="0" borderId="58" xfId="0" applyNumberFormat="1" applyFont="1" applyBorder="1" applyAlignment="1">
      <alignment horizontal="center" vertical="center"/>
    </xf>
    <xf numFmtId="0" fontId="5" fillId="0" borderId="59" xfId="0" applyFont="1" applyBorder="1" applyAlignment="1">
      <alignment horizontal="left" vertical="center"/>
    </xf>
    <xf numFmtId="0" fontId="5" fillId="0" borderId="60" xfId="0" applyFont="1" applyBorder="1" applyAlignment="1">
      <alignment horizontal="left" vertical="center"/>
    </xf>
    <xf numFmtId="0" fontId="5" fillId="0" borderId="61" xfId="0" applyFont="1" applyBorder="1" applyAlignment="1">
      <alignment horizontal="left" vertical="center"/>
    </xf>
    <xf numFmtId="164" fontId="5" fillId="0" borderId="59" xfId="0" applyNumberFormat="1" applyFont="1" applyBorder="1" applyAlignment="1">
      <alignment horizontal="left" vertical="center" wrapText="1" shrinkToFit="1"/>
    </xf>
    <xf numFmtId="164" fontId="5" fillId="0" borderId="60" xfId="0" applyNumberFormat="1" applyFont="1" applyBorder="1" applyAlignment="1">
      <alignment horizontal="left" vertical="center" wrapText="1" shrinkToFit="1"/>
    </xf>
    <xf numFmtId="164" fontId="5" fillId="0" borderId="61" xfId="0" applyNumberFormat="1" applyFont="1" applyBorder="1" applyAlignment="1">
      <alignment horizontal="left" vertical="center" wrapText="1" shrinkToFit="1"/>
    </xf>
    <xf numFmtId="164" fontId="6" fillId="0" borderId="4" xfId="0" applyNumberFormat="1" applyFont="1" applyBorder="1" applyAlignment="1">
      <alignment horizontal="left" vertical="center" wrapText="1" shrinkToFit="1"/>
    </xf>
    <xf numFmtId="164" fontId="6" fillId="0" borderId="62" xfId="0" applyNumberFormat="1" applyFont="1" applyBorder="1" applyAlignment="1">
      <alignment horizontal="left" vertical="center" wrapText="1" shrinkToFit="1"/>
    </xf>
    <xf numFmtId="164" fontId="6" fillId="0" borderId="63" xfId="0" applyNumberFormat="1" applyFont="1" applyBorder="1" applyAlignment="1">
      <alignment horizontal="left" vertical="center" wrapText="1" shrinkToFit="1"/>
    </xf>
    <xf numFmtId="164" fontId="6" fillId="0" borderId="64" xfId="0" applyNumberFormat="1" applyFont="1" applyBorder="1" applyAlignment="1">
      <alignment horizontal="left" vertical="center" wrapText="1" shrinkToFit="1" indent="1"/>
    </xf>
    <xf numFmtId="164" fontId="6" fillId="0" borderId="65" xfId="0" applyNumberFormat="1" applyFont="1" applyBorder="1" applyAlignment="1">
      <alignment horizontal="left" vertical="center" wrapText="1" shrinkToFit="1" indent="1"/>
    </xf>
    <xf numFmtId="164" fontId="7" fillId="0" borderId="64" xfId="0" applyNumberFormat="1" applyFont="1" applyBorder="1" applyAlignment="1">
      <alignment horizontal="left" vertical="center" shrinkToFit="1"/>
    </xf>
    <xf numFmtId="164" fontId="7" fillId="0" borderId="65" xfId="0" applyNumberFormat="1" applyFont="1" applyBorder="1" applyAlignment="1">
      <alignment horizontal="left" vertical="center" shrinkToFit="1"/>
    </xf>
    <xf numFmtId="0" fontId="1" fillId="0" borderId="0" xfId="0" applyFont="1" applyAlignment="1">
      <alignment horizontal="left" indent="1"/>
    </xf>
    <xf numFmtId="164" fontId="2" fillId="0" borderId="0" xfId="0" applyNumberFormat="1" applyFont="1" applyAlignment="1">
      <alignment horizontal="left" indent="1"/>
    </xf>
    <xf numFmtId="164" fontId="6" fillId="0" borderId="64" xfId="0" applyNumberFormat="1" applyFont="1" applyBorder="1" applyAlignment="1">
      <alignment horizontal="left" vertical="center" wrapText="1" shrinkToFit="1"/>
    </xf>
    <xf numFmtId="164" fontId="6" fillId="0" borderId="65" xfId="0" applyNumberFormat="1" applyFont="1" applyBorder="1" applyAlignment="1">
      <alignment horizontal="left" vertical="center" wrapText="1" shrinkToFit="1"/>
    </xf>
    <xf numFmtId="164" fontId="6" fillId="0" borderId="66" xfId="0" applyNumberFormat="1" applyFont="1" applyBorder="1" applyAlignment="1">
      <alignment horizontal="center" vertical="center" wrapText="1" shrinkToFit="1"/>
    </xf>
    <xf numFmtId="164" fontId="6" fillId="0" borderId="67" xfId="0" applyNumberFormat="1" applyFont="1" applyBorder="1" applyAlignment="1">
      <alignment horizontal="center" vertical="center" wrapText="1" shrinkToFit="1"/>
    </xf>
    <xf numFmtId="164" fontId="6" fillId="0" borderId="68" xfId="0" applyNumberFormat="1" applyFont="1" applyBorder="1" applyAlignment="1">
      <alignment horizontal="center" vertical="center" wrapText="1" shrinkToFit="1"/>
    </xf>
    <xf numFmtId="0" fontId="1" fillId="0" borderId="50" xfId="0" applyFont="1" applyBorder="1"/>
    <xf numFmtId="164" fontId="2" fillId="0" borderId="50" xfId="0" applyNumberFormat="1" applyFont="1" applyBorder="1"/>
    <xf numFmtId="0" fontId="5" fillId="0" borderId="69" xfId="0" applyFont="1" applyBorder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4" fillId="0" borderId="7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shrinkToFi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 shrinkToFit="1"/>
    </xf>
    <xf numFmtId="14" fontId="5" fillId="0" borderId="0" xfId="0" applyNumberFormat="1" applyFont="1" applyAlignment="1">
      <alignment horizontal="center" vertical="center" shrinkToFit="1"/>
    </xf>
    <xf numFmtId="0" fontId="7" fillId="0" borderId="0" xfId="0" applyFont="1" applyAlignment="1">
      <alignment horizontal="right" vertical="center"/>
    </xf>
    <xf numFmtId="0" fontId="5" fillId="0" borderId="15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49" fontId="6" fillId="0" borderId="71" xfId="0" applyNumberFormat="1" applyFont="1" applyBorder="1" applyAlignment="1">
      <alignment horizontal="center" vertical="center"/>
    </xf>
    <xf numFmtId="20" fontId="6" fillId="0" borderId="72" xfId="0" applyNumberFormat="1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6" fillId="0" borderId="70" xfId="0" applyFont="1" applyBorder="1" applyAlignment="1">
      <alignment horizontal="center" vertical="center"/>
    </xf>
    <xf numFmtId="20" fontId="6" fillId="0" borderId="3" xfId="0" applyNumberFormat="1" applyFont="1" applyBorder="1" applyAlignment="1">
      <alignment horizontal="center" vertical="center"/>
    </xf>
    <xf numFmtId="0" fontId="6" fillId="0" borderId="73" xfId="0" applyFont="1" applyBorder="1" applyAlignment="1">
      <alignment horizontal="left" vertical="center" indent="1"/>
    </xf>
    <xf numFmtId="20" fontId="6" fillId="0" borderId="47" xfId="0" applyNumberFormat="1" applyFont="1" applyBorder="1" applyAlignment="1">
      <alignment horizontal="center" vertical="center"/>
    </xf>
    <xf numFmtId="0" fontId="6" fillId="0" borderId="70" xfId="0" applyFont="1" applyBorder="1" applyAlignment="1">
      <alignment horizontal="left" vertical="center" indent="1"/>
    </xf>
    <xf numFmtId="0" fontId="6" fillId="0" borderId="2" xfId="0" applyFont="1" applyBorder="1" applyAlignment="1">
      <alignment horizontal="left" vertical="center" indent="1"/>
    </xf>
    <xf numFmtId="0" fontId="6" fillId="0" borderId="3" xfId="0" applyFont="1" applyBorder="1" applyAlignment="1">
      <alignment horizontal="left" vertical="center" indent="1"/>
    </xf>
    <xf numFmtId="0" fontId="6" fillId="0" borderId="3" xfId="0" applyFont="1" applyBorder="1" applyAlignment="1">
      <alignment horizontal="center" vertical="center"/>
    </xf>
    <xf numFmtId="0" fontId="6" fillId="0" borderId="30" xfId="0" applyFont="1" applyBorder="1" applyAlignment="1">
      <alignment horizontal="left" vertical="center" indent="1"/>
    </xf>
    <xf numFmtId="0" fontId="6" fillId="0" borderId="42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74" xfId="0" applyFont="1" applyBorder="1" applyAlignment="1">
      <alignment horizontal="left" vertical="center" indent="1"/>
    </xf>
    <xf numFmtId="166" fontId="6" fillId="0" borderId="6" xfId="0" applyNumberFormat="1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166" fontId="6" fillId="0" borderId="70" xfId="0" applyNumberFormat="1" applyFont="1" applyBorder="1" applyAlignment="1">
      <alignment horizontal="center" vertical="center"/>
    </xf>
    <xf numFmtId="49" fontId="6" fillId="0" borderId="55" xfId="0" applyNumberFormat="1" applyFont="1" applyBorder="1" applyAlignment="1">
      <alignment horizontal="center" vertical="center"/>
    </xf>
    <xf numFmtId="166" fontId="6" fillId="0" borderId="42" xfId="0" applyNumberFormat="1" applyFont="1" applyBorder="1" applyAlignment="1">
      <alignment horizontal="center" vertical="center"/>
    </xf>
    <xf numFmtId="166" fontId="6" fillId="0" borderId="44" xfId="0" applyNumberFormat="1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55" xfId="0" applyFont="1" applyBorder="1" applyAlignment="1">
      <alignment horizontal="center" vertical="center"/>
    </xf>
    <xf numFmtId="0" fontId="6" fillId="0" borderId="39" xfId="0" applyFont="1" applyBorder="1" applyAlignment="1">
      <alignment horizontal="left" vertical="center" indent="1"/>
    </xf>
    <xf numFmtId="0" fontId="1" fillId="0" borderId="75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indent="1"/>
    </xf>
    <xf numFmtId="0" fontId="1" fillId="0" borderId="70" xfId="0" applyFont="1" applyBorder="1" applyAlignment="1">
      <alignment horizontal="center" vertical="center"/>
    </xf>
    <xf numFmtId="0" fontId="6" fillId="0" borderId="44" xfId="0" applyFont="1" applyBorder="1" applyAlignment="1">
      <alignment horizontal="left" vertical="center" indent="1"/>
    </xf>
    <xf numFmtId="0" fontId="6" fillId="0" borderId="50" xfId="0" applyFont="1" applyBorder="1" applyAlignment="1">
      <alignment horizontal="left" vertical="center" indent="1"/>
    </xf>
    <xf numFmtId="0" fontId="6" fillId="0" borderId="47" xfId="0" applyFont="1" applyBorder="1" applyAlignment="1">
      <alignment horizontal="left" vertical="center" indent="1"/>
    </xf>
    <xf numFmtId="0" fontId="1" fillId="0" borderId="7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indent="1"/>
    </xf>
    <xf numFmtId="0" fontId="1" fillId="0" borderId="50" xfId="0" applyFont="1" applyBorder="1" applyAlignment="1">
      <alignment vertical="center"/>
    </xf>
    <xf numFmtId="0" fontId="1" fillId="0" borderId="69" xfId="0" applyFont="1" applyBorder="1" applyAlignment="1">
      <alignment horizontal="center" vertical="center"/>
    </xf>
    <xf numFmtId="0" fontId="5" fillId="0" borderId="6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6" fillId="0" borderId="25" xfId="0" applyFont="1" applyBorder="1" applyAlignment="1">
      <alignment vertical="center"/>
    </xf>
    <xf numFmtId="0" fontId="6" fillId="0" borderId="71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71" xfId="0" applyFont="1" applyBorder="1" applyAlignment="1">
      <alignment vertical="center"/>
    </xf>
    <xf numFmtId="0" fontId="6" fillId="0" borderId="26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0" fontId="6" fillId="0" borderId="25" xfId="0" applyFont="1" applyBorder="1" applyAlignment="1">
      <alignment horizontal="center" vertical="center"/>
    </xf>
    <xf numFmtId="164" fontId="6" fillId="0" borderId="71" xfId="0" applyNumberFormat="1" applyFont="1" applyBorder="1" applyAlignment="1">
      <alignment horizontal="center" vertical="center" wrapText="1" shrinkToFit="1"/>
    </xf>
    <xf numFmtId="0" fontId="6" fillId="0" borderId="28" xfId="0" applyFont="1" applyBorder="1" applyAlignment="1">
      <alignment horizontal="center" vertical="center" wrapText="1" shrinkToFit="1"/>
    </xf>
    <xf numFmtId="164" fontId="6" fillId="0" borderId="25" xfId="0" applyNumberFormat="1" applyFont="1" applyBorder="1" applyAlignment="1">
      <alignment horizontal="center" vertical="center" wrapText="1" shrinkToFit="1"/>
    </xf>
    <xf numFmtId="0" fontId="7" fillId="0" borderId="25" xfId="0" applyFont="1" applyBorder="1" applyAlignment="1">
      <alignment horizontal="left" vertical="center" shrinkToFit="1" indent="1"/>
    </xf>
    <xf numFmtId="0" fontId="6" fillId="0" borderId="33" xfId="0" applyFont="1" applyBorder="1" applyAlignment="1">
      <alignment vertical="center"/>
    </xf>
    <xf numFmtId="0" fontId="6" fillId="0" borderId="33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164" fontId="6" fillId="0" borderId="33" xfId="0" applyNumberFormat="1" applyFont="1" applyBorder="1" applyAlignment="1">
      <alignment horizontal="center" vertical="center" wrapText="1" shrinkToFit="1"/>
    </xf>
    <xf numFmtId="0" fontId="6" fillId="0" borderId="33" xfId="0" applyFont="1" applyBorder="1" applyAlignment="1">
      <alignment horizontal="center" vertical="center" wrapText="1" shrinkToFit="1"/>
    </xf>
    <xf numFmtId="0" fontId="7" fillId="0" borderId="33" xfId="0" applyFont="1" applyBorder="1" applyAlignment="1">
      <alignment horizontal="left" vertical="center" indent="1"/>
    </xf>
    <xf numFmtId="0" fontId="7" fillId="0" borderId="33" xfId="0" applyFont="1" applyBorder="1" applyAlignment="1">
      <alignment horizontal="left" vertical="center" shrinkToFit="1" indent="1"/>
    </xf>
    <xf numFmtId="0" fontId="6" fillId="0" borderId="30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 wrapText="1" shrinkToFit="1"/>
    </xf>
    <xf numFmtId="0" fontId="6" fillId="0" borderId="3" xfId="0" applyFont="1" applyBorder="1" applyAlignment="1">
      <alignment horizontal="center" vertical="center" wrapText="1" shrinkToFit="1"/>
    </xf>
    <xf numFmtId="0" fontId="7" fillId="0" borderId="30" xfId="0" applyFont="1" applyBorder="1" applyAlignment="1">
      <alignment horizontal="left" vertical="center" indent="1"/>
    </xf>
    <xf numFmtId="0" fontId="6" fillId="0" borderId="5" xfId="0" applyFont="1" applyBorder="1" applyAlignment="1">
      <alignment vertical="center"/>
    </xf>
    <xf numFmtId="0" fontId="10" fillId="0" borderId="77" xfId="0" applyFont="1" applyBorder="1" applyAlignment="1">
      <alignment horizontal="center" vertical="center"/>
    </xf>
    <xf numFmtId="0" fontId="10" fillId="0" borderId="62" xfId="0" applyFont="1" applyBorder="1" applyAlignment="1">
      <alignment horizontal="center" vertical="center"/>
    </xf>
    <xf numFmtId="0" fontId="10" fillId="0" borderId="78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64" fontId="10" fillId="0" borderId="5" xfId="0" applyNumberFormat="1" applyFont="1" applyBorder="1" applyAlignment="1">
      <alignment horizontal="center" vertical="center" wrapText="1" shrinkToFit="1"/>
    </xf>
    <xf numFmtId="0" fontId="6" fillId="0" borderId="5" xfId="0" applyFont="1" applyBorder="1" applyAlignment="1">
      <alignment horizontal="left" vertical="center"/>
    </xf>
    <xf numFmtId="0" fontId="6" fillId="0" borderId="33" xfId="0" applyFont="1" applyBorder="1" applyAlignment="1">
      <alignment horizontal="left" vertical="center" shrinkToFit="1"/>
    </xf>
    <xf numFmtId="0" fontId="6" fillId="0" borderId="2" xfId="0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 wrapText="1" shrinkToFit="1"/>
    </xf>
    <xf numFmtId="164" fontId="6" fillId="0" borderId="33" xfId="0" applyNumberFormat="1" applyFont="1" applyBorder="1" applyAlignment="1">
      <alignment vertical="center"/>
    </xf>
    <xf numFmtId="0" fontId="6" fillId="0" borderId="35" xfId="0" applyFont="1" applyBorder="1" applyAlignment="1">
      <alignment vertical="center"/>
    </xf>
    <xf numFmtId="0" fontId="6" fillId="0" borderId="3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164" fontId="6" fillId="0" borderId="35" xfId="0" applyNumberFormat="1" applyFont="1" applyBorder="1" applyAlignment="1">
      <alignment horizontal="center" vertical="center" wrapText="1" shrinkToFit="1"/>
    </xf>
    <xf numFmtId="0" fontId="6" fillId="0" borderId="55" xfId="0" applyFont="1" applyBorder="1" applyAlignment="1">
      <alignment horizontal="left" vertical="center"/>
    </xf>
    <xf numFmtId="0" fontId="11" fillId="0" borderId="69" xfId="0" applyFont="1" applyBorder="1" applyAlignment="1">
      <alignment horizontal="left" vertical="center"/>
    </xf>
    <xf numFmtId="0" fontId="11" fillId="0" borderId="54" xfId="0" applyFont="1" applyBorder="1" applyAlignment="1">
      <alignment horizontal="left" vertical="center"/>
    </xf>
    <xf numFmtId="0" fontId="6" fillId="0" borderId="79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80" xfId="0" applyFont="1" applyBorder="1" applyAlignment="1">
      <alignment horizontal="left" vertical="center"/>
    </xf>
    <xf numFmtId="0" fontId="6" fillId="0" borderId="79" xfId="0" applyFont="1" applyBorder="1" applyAlignment="1">
      <alignment horizontal="center" vertical="center" shrinkToFit="1"/>
    </xf>
    <xf numFmtId="0" fontId="6" fillId="0" borderId="44" xfId="0" applyFont="1" applyBorder="1" applyAlignment="1">
      <alignment horizontal="center" vertical="center" shrinkToFit="1"/>
    </xf>
    <xf numFmtId="0" fontId="6" fillId="0" borderId="50" xfId="0" applyFont="1" applyBorder="1" applyAlignment="1">
      <alignment horizontal="left" vertical="center"/>
    </xf>
    <xf numFmtId="0" fontId="6" fillId="0" borderId="47" xfId="0" applyFont="1" applyBorder="1" applyAlignment="1">
      <alignment horizontal="left" vertical="center"/>
    </xf>
    <xf numFmtId="0" fontId="1" fillId="0" borderId="55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1" fillId="0" borderId="81" xfId="0" applyFont="1" applyBorder="1" applyAlignment="1">
      <alignment horizontal="center" vertical="center"/>
    </xf>
    <xf numFmtId="0" fontId="1" fillId="0" borderId="82" xfId="0" applyFont="1" applyBorder="1" applyAlignment="1">
      <alignment horizontal="center" vertical="center"/>
    </xf>
    <xf numFmtId="0" fontId="1" fillId="0" borderId="83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6" fillId="0" borderId="73" xfId="0" applyFont="1" applyBorder="1" applyAlignment="1">
      <alignment horizontal="center" vertical="center"/>
    </xf>
    <xf numFmtId="0" fontId="6" fillId="0" borderId="73" xfId="0" applyFont="1" applyBorder="1" applyAlignment="1">
      <alignment vertical="center"/>
    </xf>
    <xf numFmtId="0" fontId="6" fillId="0" borderId="25" xfId="0" applyFont="1" applyBorder="1" applyAlignment="1">
      <alignment horizontal="center" vertical="center" wrapText="1" shrinkToFit="1"/>
    </xf>
    <xf numFmtId="0" fontId="7" fillId="0" borderId="25" xfId="0" applyFont="1" applyBorder="1" applyAlignment="1">
      <alignment horizontal="left" vertical="center" indent="1"/>
    </xf>
    <xf numFmtId="0" fontId="6" fillId="0" borderId="33" xfId="0" applyFont="1" applyBorder="1" applyAlignment="1">
      <alignment horizontal="left" vertical="center" indent="1"/>
    </xf>
    <xf numFmtId="0" fontId="6" fillId="0" borderId="11" xfId="0" applyFont="1" applyBorder="1" applyAlignment="1">
      <alignment vertical="center"/>
    </xf>
    <xf numFmtId="0" fontId="10" fillId="0" borderId="6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164" fontId="10" fillId="0" borderId="11" xfId="0" applyNumberFormat="1" applyFont="1" applyBorder="1" applyAlignment="1">
      <alignment horizontal="center" vertical="center" wrapText="1" shrinkToFit="1"/>
    </xf>
    <xf numFmtId="0" fontId="6" fillId="0" borderId="11" xfId="0" applyFont="1" applyBorder="1" applyAlignment="1">
      <alignment horizontal="left" vertical="center"/>
    </xf>
    <xf numFmtId="0" fontId="10" fillId="0" borderId="44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164" fontId="10" fillId="0" borderId="30" xfId="0" applyNumberFormat="1" applyFont="1" applyBorder="1" applyAlignment="1">
      <alignment horizontal="center" vertical="center" wrapText="1" shrinkToFit="1"/>
    </xf>
    <xf numFmtId="0" fontId="6" fillId="0" borderId="30" xfId="0" applyFont="1" applyBorder="1" applyAlignment="1">
      <alignment horizontal="left" vertical="center"/>
    </xf>
    <xf numFmtId="164" fontId="10" fillId="0" borderId="44" xfId="0" applyNumberFormat="1" applyFont="1" applyBorder="1" applyAlignment="1">
      <alignment horizontal="center" vertical="center" wrapText="1" shrinkToFit="1"/>
    </xf>
    <xf numFmtId="164" fontId="10" fillId="0" borderId="47" xfId="0" applyNumberFormat="1" applyFont="1" applyBorder="1" applyAlignment="1">
      <alignment horizontal="center" vertical="center" wrapText="1" shrinkToFit="1"/>
    </xf>
    <xf numFmtId="0" fontId="6" fillId="0" borderId="69" xfId="0" applyFont="1" applyBorder="1" applyAlignment="1">
      <alignment horizontal="center" vertical="center" shrinkToFit="1"/>
    </xf>
    <xf numFmtId="0" fontId="6" fillId="0" borderId="69" xfId="0" applyFont="1" applyBorder="1" applyAlignment="1">
      <alignment horizontal="left" vertical="center"/>
    </xf>
    <xf numFmtId="0" fontId="6" fillId="0" borderId="71" xfId="0" applyFont="1" applyBorder="1" applyAlignment="1">
      <alignment horizontal="left" vertical="center" indent="1"/>
    </xf>
    <xf numFmtId="0" fontId="6" fillId="0" borderId="26" xfId="0" applyFont="1" applyBorder="1" applyAlignment="1">
      <alignment horizontal="left" vertical="center" indent="1"/>
    </xf>
    <xf numFmtId="0" fontId="6" fillId="0" borderId="28" xfId="0" applyFont="1" applyBorder="1" applyAlignment="1">
      <alignment horizontal="left" vertical="center" indent="1"/>
    </xf>
    <xf numFmtId="164" fontId="1" fillId="0" borderId="82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horizontal="right" vertical="center"/>
    </xf>
    <xf numFmtId="0" fontId="12" fillId="0" borderId="1" xfId="0" applyFont="1" applyBorder="1" applyAlignment="1">
      <alignment horizontal="center" vertical="center" shrinkToFit="1"/>
    </xf>
    <xf numFmtId="0" fontId="12" fillId="0" borderId="2" xfId="0" applyFont="1" applyBorder="1" applyAlignment="1">
      <alignment horizontal="center" vertical="center" shrinkToFit="1"/>
    </xf>
    <xf numFmtId="0" fontId="12" fillId="0" borderId="3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4" xfId="0" applyFont="1" applyBorder="1" applyAlignment="1">
      <alignment horizontal="center" vertical="center"/>
    </xf>
    <xf numFmtId="0" fontId="5" fillId="0" borderId="85" xfId="0" applyFont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1" fillId="0" borderId="86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 shrinkToFit="1"/>
    </xf>
    <xf numFmtId="0" fontId="13" fillId="0" borderId="23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 shrinkToFit="1"/>
    </xf>
    <xf numFmtId="0" fontId="13" fillId="0" borderId="87" xfId="0" applyFont="1" applyBorder="1" applyAlignment="1">
      <alignment horizontal="center" vertical="center"/>
    </xf>
    <xf numFmtId="49" fontId="6" fillId="0" borderId="33" xfId="0" applyNumberFormat="1" applyFont="1" applyBorder="1" applyAlignment="1">
      <alignment horizontal="center" vertical="center" shrinkToFit="1"/>
    </xf>
    <xf numFmtId="0" fontId="6" fillId="0" borderId="56" xfId="0" applyFont="1" applyBorder="1" applyAlignment="1">
      <alignment horizontal="center" vertical="center"/>
    </xf>
    <xf numFmtId="49" fontId="6" fillId="0" borderId="11" xfId="0" applyNumberFormat="1" applyFont="1" applyBorder="1" applyAlignment="1">
      <alignment horizontal="center" vertical="center" shrinkToFit="1"/>
    </xf>
    <xf numFmtId="0" fontId="13" fillId="0" borderId="38" xfId="0" applyFont="1" applyBorder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shrinkToFit="1"/>
    </xf>
    <xf numFmtId="0" fontId="13" fillId="0" borderId="46" xfId="0" applyFont="1" applyBorder="1" applyAlignment="1">
      <alignment horizontal="center" vertical="center"/>
    </xf>
    <xf numFmtId="0" fontId="13" fillId="0" borderId="52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 shrinkToFit="1"/>
    </xf>
    <xf numFmtId="0" fontId="13" fillId="0" borderId="53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8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33" xfId="0" applyFont="1" applyBorder="1" applyAlignment="1">
      <alignment vertical="center"/>
    </xf>
    <xf numFmtId="0" fontId="13" fillId="0" borderId="87" xfId="0" applyFont="1" applyBorder="1" applyAlignment="1">
      <alignment vertical="center"/>
    </xf>
    <xf numFmtId="0" fontId="13" fillId="0" borderId="57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13" fillId="0" borderId="39" xfId="0" applyFont="1" applyBorder="1" applyAlignment="1">
      <alignment vertical="center"/>
    </xf>
    <xf numFmtId="0" fontId="13" fillId="0" borderId="4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/>
    </xf>
    <xf numFmtId="0" fontId="13" fillId="0" borderId="73" xfId="0" applyFont="1" applyBorder="1" applyAlignment="1">
      <alignment horizontal="center" vertical="center"/>
    </xf>
    <xf numFmtId="49" fontId="6" fillId="0" borderId="73" xfId="0" applyNumberFormat="1" applyFont="1" applyBorder="1" applyAlignment="1">
      <alignment horizontal="center" vertical="center"/>
    </xf>
    <xf numFmtId="0" fontId="13" fillId="0" borderId="73" xfId="0" applyFont="1" applyBorder="1" applyAlignment="1">
      <alignment horizontal="center" vertical="center" wrapText="1"/>
    </xf>
    <xf numFmtId="0" fontId="6" fillId="0" borderId="87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49" fontId="13" fillId="0" borderId="38" xfId="0" applyNumberFormat="1" applyFont="1" applyBorder="1" applyAlignment="1">
      <alignment horizontal="center" vertical="center" wrapText="1"/>
    </xf>
    <xf numFmtId="49" fontId="13" fillId="0" borderId="39" xfId="0" applyNumberFormat="1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/>
    </xf>
    <xf numFmtId="49" fontId="13" fillId="0" borderId="29" xfId="0" applyNumberFormat="1" applyFont="1" applyBorder="1" applyAlignment="1">
      <alignment horizontal="center" vertical="center" wrapText="1"/>
    </xf>
    <xf numFmtId="49" fontId="13" fillId="0" borderId="43" xfId="0" applyNumberFormat="1" applyFont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 wrapText="1"/>
    </xf>
    <xf numFmtId="0" fontId="6" fillId="0" borderId="89" xfId="0" applyFont="1" applyBorder="1" applyAlignment="1">
      <alignment horizontal="center" vertical="center"/>
    </xf>
    <xf numFmtId="49" fontId="13" fillId="0" borderId="32" xfId="0" applyNumberFormat="1" applyFont="1" applyBorder="1" applyAlignment="1">
      <alignment horizontal="center" vertical="center" wrapText="1"/>
    </xf>
    <xf numFmtId="49" fontId="13" fillId="0" borderId="73" xfId="0" applyNumberFormat="1" applyFont="1" applyBorder="1" applyAlignment="1">
      <alignment horizontal="center" vertical="center" wrapText="1"/>
    </xf>
    <xf numFmtId="49" fontId="13" fillId="0" borderId="88" xfId="0" applyNumberFormat="1" applyFont="1" applyBorder="1" applyAlignment="1">
      <alignment horizontal="center" vertical="center" wrapText="1"/>
    </xf>
    <xf numFmtId="49" fontId="13" fillId="0" borderId="3" xfId="0" applyNumberFormat="1" applyFont="1" applyBorder="1" applyAlignment="1">
      <alignment horizontal="center" vertical="center" wrapText="1"/>
    </xf>
    <xf numFmtId="0" fontId="13" fillId="0" borderId="88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/>
    </xf>
    <xf numFmtId="49" fontId="6" fillId="0" borderId="39" xfId="0" applyNumberFormat="1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49" fontId="13" fillId="2" borderId="30" xfId="0" applyNumberFormat="1" applyFont="1" applyFill="1" applyBorder="1" applyAlignment="1">
      <alignment horizontal="center" vertical="center" wrapText="1"/>
    </xf>
    <xf numFmtId="49" fontId="13" fillId="2" borderId="73" xfId="0" applyNumberFormat="1" applyFont="1" applyFill="1" applyBorder="1" applyAlignment="1">
      <alignment horizontal="center" vertical="center" wrapText="1"/>
    </xf>
    <xf numFmtId="0" fontId="7" fillId="0" borderId="73" xfId="0" applyFont="1" applyBorder="1" applyAlignment="1">
      <alignment horizontal="center" vertical="center"/>
    </xf>
    <xf numFmtId="49" fontId="7" fillId="0" borderId="73" xfId="0" applyNumberFormat="1" applyFont="1" applyBorder="1" applyAlignment="1">
      <alignment horizontal="center" vertical="center"/>
    </xf>
    <xf numFmtId="0" fontId="7" fillId="0" borderId="87" xfId="0" applyFont="1" applyBorder="1" applyAlignment="1">
      <alignment horizontal="center" vertical="center"/>
    </xf>
    <xf numFmtId="49" fontId="7" fillId="0" borderId="39" xfId="0" applyNumberFormat="1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49" fontId="7" fillId="0" borderId="11" xfId="0" applyNumberFormat="1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" fillId="0" borderId="0" xfId="0" applyFont="1" applyAlignment="1">
      <alignment vertical="center" shrinkToFit="1"/>
    </xf>
    <xf numFmtId="0" fontId="6" fillId="0" borderId="54" xfId="0" applyFont="1" applyBorder="1" applyAlignment="1">
      <alignment horizontal="center" vertical="center"/>
    </xf>
    <xf numFmtId="0" fontId="6" fillId="0" borderId="83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49" fontId="15" fillId="3" borderId="25" xfId="0" applyNumberFormat="1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 wrapText="1"/>
    </xf>
    <xf numFmtId="0" fontId="6" fillId="4" borderId="33" xfId="0" applyFont="1" applyFill="1" applyBorder="1" applyAlignment="1">
      <alignment horizontal="center" vertical="center" wrapText="1"/>
    </xf>
    <xf numFmtId="167" fontId="13" fillId="0" borderId="22" xfId="0" applyNumberFormat="1" applyFont="1" applyBorder="1" applyAlignment="1">
      <alignment horizontal="center" vertical="center" wrapText="1"/>
    </xf>
    <xf numFmtId="168" fontId="6" fillId="0" borderId="25" xfId="0" applyNumberFormat="1" applyFont="1" applyBorder="1" applyAlignment="1">
      <alignment horizontal="center" vertical="center"/>
    </xf>
    <xf numFmtId="0" fontId="16" fillId="4" borderId="33" xfId="0" applyFont="1" applyFill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167" fontId="15" fillId="3" borderId="33" xfId="0" applyNumberFormat="1" applyFont="1" applyFill="1" applyBorder="1" applyAlignment="1">
      <alignment horizontal="center" vertical="center"/>
    </xf>
    <xf numFmtId="168" fontId="6" fillId="0" borderId="33" xfId="0" applyNumberFormat="1" applyFont="1" applyBorder="1" applyAlignment="1">
      <alignment horizontal="center" vertical="center"/>
    </xf>
    <xf numFmtId="0" fontId="6" fillId="0" borderId="74" xfId="0" applyFont="1" applyBorder="1" applyAlignment="1">
      <alignment horizontal="center" vertical="center"/>
    </xf>
    <xf numFmtId="0" fontId="6" fillId="4" borderId="74" xfId="0" applyFont="1" applyFill="1" applyBorder="1" applyAlignment="1">
      <alignment horizontal="center" vertical="center" wrapText="1"/>
    </xf>
    <xf numFmtId="167" fontId="15" fillId="3" borderId="74" xfId="0" applyNumberFormat="1" applyFont="1" applyFill="1" applyBorder="1" applyAlignment="1">
      <alignment horizontal="center" vertical="center"/>
    </xf>
    <xf numFmtId="168" fontId="6" fillId="0" borderId="74" xfId="0" applyNumberFormat="1" applyFont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 wrapText="1"/>
    </xf>
    <xf numFmtId="167" fontId="16" fillId="4" borderId="30" xfId="0" applyNumberFormat="1" applyFont="1" applyFill="1" applyBorder="1" applyAlignment="1">
      <alignment horizontal="center" vertical="center"/>
    </xf>
    <xf numFmtId="168" fontId="6" fillId="0" borderId="30" xfId="0" applyNumberFormat="1" applyFont="1" applyBorder="1" applyAlignment="1">
      <alignment horizontal="center" vertical="center"/>
    </xf>
    <xf numFmtId="167" fontId="16" fillId="4" borderId="33" xfId="0" applyNumberFormat="1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 wrapText="1"/>
    </xf>
    <xf numFmtId="167" fontId="16" fillId="4" borderId="11" xfId="0" applyNumberFormat="1" applyFont="1" applyFill="1" applyBorder="1" applyAlignment="1">
      <alignment horizontal="center" vertical="center"/>
    </xf>
    <xf numFmtId="168" fontId="6" fillId="0" borderId="11" xfId="0" applyNumberFormat="1" applyFont="1" applyBorder="1" applyAlignment="1">
      <alignment horizontal="center" vertical="center"/>
    </xf>
    <xf numFmtId="167" fontId="16" fillId="4" borderId="74" xfId="0" applyNumberFormat="1" applyFont="1" applyFill="1" applyBorder="1" applyAlignment="1">
      <alignment horizontal="center" vertical="center"/>
    </xf>
    <xf numFmtId="49" fontId="15" fillId="3" borderId="33" xfId="0" applyNumberFormat="1" applyFont="1" applyFill="1" applyBorder="1" applyAlignment="1">
      <alignment horizontal="center" vertical="center"/>
    </xf>
    <xf numFmtId="49" fontId="15" fillId="3" borderId="39" xfId="0" applyNumberFormat="1" applyFont="1" applyFill="1" applyBorder="1" applyAlignment="1">
      <alignment horizontal="center" vertical="center"/>
    </xf>
    <xf numFmtId="0" fontId="6" fillId="4" borderId="39" xfId="0" applyFont="1" applyFill="1" applyBorder="1" applyAlignment="1">
      <alignment horizontal="center" vertical="center" wrapText="1"/>
    </xf>
    <xf numFmtId="167" fontId="15" fillId="3" borderId="39" xfId="0" applyNumberFormat="1" applyFont="1" applyFill="1" applyBorder="1" applyAlignment="1">
      <alignment horizontal="center" vertical="center"/>
    </xf>
    <xf numFmtId="168" fontId="6" fillId="0" borderId="35" xfId="0" applyNumberFormat="1" applyFont="1" applyBorder="1" applyAlignment="1">
      <alignment horizontal="center" vertical="center"/>
    </xf>
    <xf numFmtId="0" fontId="16" fillId="4" borderId="39" xfId="0" applyFont="1" applyFill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6" fillId="4" borderId="30" xfId="0" applyFont="1" applyFill="1" applyBorder="1" applyAlignment="1">
      <alignment horizontal="center" vertical="center"/>
    </xf>
    <xf numFmtId="168" fontId="6" fillId="0" borderId="39" xfId="0" applyNumberFormat="1" applyFont="1" applyBorder="1" applyAlignment="1">
      <alignment horizontal="center" vertical="center"/>
    </xf>
    <xf numFmtId="49" fontId="15" fillId="3" borderId="30" xfId="0" applyNumberFormat="1" applyFont="1" applyFill="1" applyBorder="1" applyAlignment="1">
      <alignment horizontal="center" vertical="center"/>
    </xf>
    <xf numFmtId="0" fontId="13" fillId="0" borderId="33" xfId="0" applyFont="1" applyBorder="1" applyAlignment="1">
      <alignment horizontal="center" vertical="center" wrapText="1"/>
    </xf>
    <xf numFmtId="20" fontId="6" fillId="0" borderId="73" xfId="0" applyNumberFormat="1" applyFont="1" applyBorder="1" applyAlignment="1">
      <alignment horizontal="center" vertical="center"/>
    </xf>
    <xf numFmtId="0" fontId="13" fillId="0" borderId="74" xfId="0" applyFont="1" applyBorder="1" applyAlignment="1">
      <alignment horizontal="center" vertical="center" wrapText="1"/>
    </xf>
    <xf numFmtId="20" fontId="6" fillId="0" borderId="39" xfId="0" applyNumberFormat="1" applyFont="1" applyBorder="1" applyAlignment="1">
      <alignment horizontal="center" vertical="center"/>
    </xf>
    <xf numFmtId="0" fontId="6" fillId="4" borderId="73" xfId="0" applyFont="1" applyFill="1" applyBorder="1" applyAlignment="1">
      <alignment horizontal="center" vertical="center" wrapText="1"/>
    </xf>
    <xf numFmtId="0" fontId="7" fillId="4" borderId="73" xfId="0" applyFont="1" applyFill="1" applyBorder="1" applyAlignment="1">
      <alignment horizontal="center" vertical="center" wrapText="1"/>
    </xf>
    <xf numFmtId="0" fontId="7" fillId="4" borderId="39" xfId="0" applyFont="1" applyFill="1" applyBorder="1" applyAlignment="1">
      <alignment horizontal="center" vertical="center" wrapText="1"/>
    </xf>
    <xf numFmtId="0" fontId="7" fillId="4" borderId="30" xfId="0" applyFont="1" applyFill="1" applyBorder="1" applyAlignment="1">
      <alignment horizontal="center" vertical="center" wrapText="1"/>
    </xf>
    <xf numFmtId="20" fontId="6" fillId="0" borderId="30" xfId="0" applyNumberFormat="1" applyFont="1" applyBorder="1" applyAlignment="1">
      <alignment horizontal="center" vertical="center"/>
    </xf>
    <xf numFmtId="0" fontId="7" fillId="4" borderId="35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17" fillId="0" borderId="73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14" fontId="6" fillId="0" borderId="0" xfId="0" applyNumberFormat="1" applyFont="1" applyAlignment="1">
      <alignment horizontal="center" vertical="center" shrinkToFit="1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5" fillId="0" borderId="67" xfId="0" applyFont="1" applyBorder="1" applyAlignment="1">
      <alignment horizontal="center" vertical="center"/>
    </xf>
    <xf numFmtId="0" fontId="6" fillId="0" borderId="4" xfId="0" applyFont="1" applyBorder="1" applyAlignment="1">
      <alignment horizontal="right" vertical="center"/>
    </xf>
    <xf numFmtId="0" fontId="6" fillId="0" borderId="62" xfId="0" applyFont="1" applyBorder="1" applyAlignment="1">
      <alignment horizontal="right" vertical="center"/>
    </xf>
    <xf numFmtId="0" fontId="6" fillId="0" borderId="13" xfId="0" applyFont="1" applyBorder="1" applyAlignment="1">
      <alignment horizontal="left" vertical="center"/>
    </xf>
    <xf numFmtId="0" fontId="6" fillId="0" borderId="82" xfId="0" applyFont="1" applyBorder="1" applyAlignment="1">
      <alignment horizontal="left" vertical="center"/>
    </xf>
    <xf numFmtId="0" fontId="6" fillId="0" borderId="90" xfId="0" applyFont="1" applyBorder="1" applyAlignment="1">
      <alignment horizontal="center" vertical="center"/>
    </xf>
    <xf numFmtId="0" fontId="6" fillId="0" borderId="91" xfId="0" applyFont="1" applyBorder="1" applyAlignment="1">
      <alignment horizontal="center" vertical="center" wrapText="1"/>
    </xf>
    <xf numFmtId="0" fontId="6" fillId="0" borderId="92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/>
    </xf>
    <xf numFmtId="165" fontId="7" fillId="0" borderId="45" xfId="0" applyNumberFormat="1" applyFont="1" applyBorder="1" applyAlignment="1">
      <alignment horizontal="center" vertical="center"/>
    </xf>
    <xf numFmtId="165" fontId="7" fillId="0" borderId="25" xfId="0" applyNumberFormat="1" applyFont="1" applyBorder="1" applyAlignment="1">
      <alignment horizontal="center" vertical="center"/>
    </xf>
    <xf numFmtId="165" fontId="7" fillId="0" borderId="47" xfId="0" applyNumberFormat="1" applyFont="1" applyBorder="1" applyAlignment="1">
      <alignment horizontal="center" vertical="center"/>
    </xf>
    <xf numFmtId="165" fontId="7" fillId="0" borderId="71" xfId="0" applyNumberFormat="1" applyFont="1" applyBorder="1" applyAlignment="1">
      <alignment horizontal="center" vertical="center"/>
    </xf>
    <xf numFmtId="165" fontId="7" fillId="0" borderId="24" xfId="0" applyNumberFormat="1" applyFont="1" applyBorder="1" applyAlignment="1">
      <alignment horizontal="center" vertical="center"/>
    </xf>
    <xf numFmtId="165" fontId="7" fillId="0" borderId="23" xfId="0" applyNumberFormat="1" applyFont="1" applyBorder="1" applyAlignment="1">
      <alignment horizontal="center" vertical="center"/>
    </xf>
    <xf numFmtId="169" fontId="7" fillId="0" borderId="32" xfId="0" applyNumberFormat="1" applyFont="1" applyBorder="1" applyAlignment="1">
      <alignment horizontal="left" vertical="center" shrinkToFit="1" indent="1"/>
    </xf>
    <xf numFmtId="169" fontId="7" fillId="0" borderId="33" xfId="0" applyNumberFormat="1" applyFont="1" applyBorder="1" applyAlignment="1">
      <alignment horizontal="left" vertical="center" shrinkToFit="1" indent="1"/>
    </xf>
    <xf numFmtId="169" fontId="7" fillId="0" borderId="31" xfId="0" applyNumberFormat="1" applyFont="1" applyBorder="1" applyAlignment="1">
      <alignment horizontal="left" vertical="center" shrinkToFit="1" indent="1"/>
    </xf>
    <xf numFmtId="0" fontId="6" fillId="0" borderId="64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/>
    </xf>
    <xf numFmtId="165" fontId="7" fillId="0" borderId="33" xfId="0" applyNumberFormat="1" applyFont="1" applyBorder="1" applyAlignment="1">
      <alignment horizontal="center" vertical="center"/>
    </xf>
    <xf numFmtId="165" fontId="7" fillId="0" borderId="30" xfId="0" applyNumberFormat="1" applyFont="1" applyBorder="1" applyAlignment="1">
      <alignment horizontal="center" vertical="center"/>
    </xf>
    <xf numFmtId="165" fontId="7" fillId="0" borderId="32" xfId="0" applyNumberFormat="1" applyFont="1" applyBorder="1" applyAlignment="1">
      <alignment horizontal="center" vertical="center"/>
    </xf>
    <xf numFmtId="165" fontId="7" fillId="0" borderId="31" xfId="0" applyNumberFormat="1" applyFont="1" applyBorder="1" applyAlignment="1">
      <alignment horizontal="center" vertical="center"/>
    </xf>
    <xf numFmtId="0" fontId="7" fillId="0" borderId="88" xfId="0" applyFont="1" applyBorder="1" applyAlignment="1">
      <alignment horizontal="left" vertical="center" wrapText="1" indent="1"/>
    </xf>
    <xf numFmtId="0" fontId="7" fillId="0" borderId="2" xfId="0" applyFont="1" applyBorder="1" applyAlignment="1">
      <alignment horizontal="left" vertical="center" wrapText="1" indent="1"/>
    </xf>
    <xf numFmtId="0" fontId="7" fillId="0" borderId="34" xfId="0" applyFont="1" applyBorder="1" applyAlignment="1">
      <alignment horizontal="left" vertical="center" wrapText="1" indent="1"/>
    </xf>
    <xf numFmtId="165" fontId="7" fillId="0" borderId="88" xfId="0" applyNumberFormat="1" applyFont="1" applyBorder="1" applyAlignment="1">
      <alignment horizontal="center" vertical="center"/>
    </xf>
    <xf numFmtId="165" fontId="7" fillId="0" borderId="2" xfId="0" applyNumberFormat="1" applyFont="1" applyBorder="1" applyAlignment="1">
      <alignment horizontal="center" vertical="center"/>
    </xf>
    <xf numFmtId="165" fontId="7" fillId="0" borderId="34" xfId="0" applyNumberFormat="1" applyFont="1" applyBorder="1" applyAlignment="1">
      <alignment horizontal="center" vertical="center"/>
    </xf>
    <xf numFmtId="0" fontId="7" fillId="0" borderId="93" xfId="0" applyFont="1" applyBorder="1" applyAlignment="1">
      <alignment horizontal="left" vertical="center" wrapText="1" indent="1"/>
    </xf>
    <xf numFmtId="0" fontId="7" fillId="0" borderId="50" xfId="0" applyFont="1" applyBorder="1" applyAlignment="1">
      <alignment horizontal="left" vertical="center" wrapText="1" indent="1"/>
    </xf>
    <xf numFmtId="0" fontId="7" fillId="0" borderId="51" xfId="0" applyFont="1" applyBorder="1" applyAlignment="1">
      <alignment horizontal="left" vertical="center" wrapText="1" indent="1"/>
    </xf>
    <xf numFmtId="0" fontId="7" fillId="0" borderId="47" xfId="0" applyFont="1" applyBorder="1" applyAlignment="1">
      <alignment horizontal="left" vertical="center" indent="1"/>
    </xf>
    <xf numFmtId="0" fontId="7" fillId="0" borderId="46" xfId="0" applyFont="1" applyBorder="1" applyAlignment="1">
      <alignment horizontal="left" vertical="center" indent="1"/>
    </xf>
    <xf numFmtId="165" fontId="7" fillId="0" borderId="1" xfId="0" applyNumberFormat="1" applyFont="1" applyBorder="1" applyAlignment="1">
      <alignment horizontal="center" vertical="center"/>
    </xf>
    <xf numFmtId="0" fontId="7" fillId="0" borderId="88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7" fillId="0" borderId="34" xfId="0" applyFont="1" applyBorder="1" applyAlignment="1">
      <alignment horizontal="left" vertical="center" indent="1"/>
    </xf>
    <xf numFmtId="0" fontId="6" fillId="0" borderId="15" xfId="0" applyFont="1" applyBorder="1" applyAlignment="1">
      <alignment horizontal="center" vertical="center"/>
    </xf>
    <xf numFmtId="165" fontId="7" fillId="0" borderId="16" xfId="0" applyNumberFormat="1" applyFont="1" applyBorder="1" applyAlignment="1">
      <alignment horizontal="center" vertical="center"/>
    </xf>
    <xf numFmtId="165" fontId="7" fillId="0" borderId="17" xfId="0" applyNumberFormat="1" applyFont="1" applyBorder="1" applyAlignment="1">
      <alignment horizontal="center" vertical="center"/>
    </xf>
    <xf numFmtId="165" fontId="7" fillId="0" borderId="20" xfId="0" applyNumberFormat="1" applyFont="1" applyBorder="1" applyAlignment="1">
      <alignment horizontal="center" vertical="center"/>
    </xf>
    <xf numFmtId="165" fontId="7" fillId="0" borderId="52" xfId="0" applyNumberFormat="1" applyFont="1" applyBorder="1" applyAlignment="1">
      <alignment horizontal="center" vertical="center"/>
    </xf>
    <xf numFmtId="165" fontId="7" fillId="0" borderId="35" xfId="0" applyNumberFormat="1" applyFont="1" applyBorder="1" applyAlignment="1">
      <alignment horizontal="center" vertical="center"/>
    </xf>
    <xf numFmtId="165" fontId="7" fillId="0" borderId="53" xfId="0" applyNumberFormat="1" applyFont="1" applyBorder="1" applyAlignment="1">
      <alignment horizontal="center" vertical="center"/>
    </xf>
    <xf numFmtId="169" fontId="7" fillId="0" borderId="16" xfId="0" applyNumberFormat="1" applyFont="1" applyBorder="1" applyAlignment="1">
      <alignment horizontal="left" vertical="center" indent="1"/>
    </xf>
    <xf numFmtId="169" fontId="7" fillId="0" borderId="17" xfId="0" applyNumberFormat="1" applyFont="1" applyBorder="1" applyAlignment="1">
      <alignment horizontal="left" vertical="center" indent="1"/>
    </xf>
    <xf numFmtId="169" fontId="7" fillId="0" borderId="90" xfId="0" applyNumberFormat="1" applyFont="1" applyBorder="1" applyAlignment="1">
      <alignment horizontal="left" vertical="center" indent="1"/>
    </xf>
    <xf numFmtId="0" fontId="6" fillId="0" borderId="66" xfId="0" applyFont="1" applyBorder="1" applyAlignment="1">
      <alignment horizontal="center" vertical="center" wrapText="1"/>
    </xf>
    <xf numFmtId="0" fontId="6" fillId="0" borderId="67" xfId="0" applyFont="1" applyBorder="1" applyAlignment="1">
      <alignment horizontal="center" vertical="center" wrapText="1"/>
    </xf>
    <xf numFmtId="0" fontId="6" fillId="0" borderId="94" xfId="0" applyFont="1" applyBorder="1" applyAlignment="1">
      <alignment horizontal="center" vertical="center"/>
    </xf>
    <xf numFmtId="0" fontId="6" fillId="0" borderId="95" xfId="0" applyFont="1" applyBorder="1" applyAlignment="1">
      <alignment horizontal="center" vertical="center"/>
    </xf>
    <xf numFmtId="165" fontId="18" fillId="0" borderId="48" xfId="0" applyNumberFormat="1" applyFont="1" applyBorder="1" applyAlignment="1">
      <alignment horizontal="center" vertical="center"/>
    </xf>
    <xf numFmtId="165" fontId="18" fillId="0" borderId="36" xfId="0" applyNumberFormat="1" applyFont="1" applyBorder="1" applyAlignment="1">
      <alignment horizontal="center" vertical="center"/>
    </xf>
    <xf numFmtId="165" fontId="18" fillId="0" borderId="96" xfId="0" applyNumberFormat="1" applyFont="1" applyBorder="1" applyAlignment="1">
      <alignment horizontal="center" vertical="center"/>
    </xf>
    <xf numFmtId="165" fontId="18" fillId="0" borderId="97" xfId="0" applyNumberFormat="1" applyFont="1" applyBorder="1" applyAlignment="1">
      <alignment horizontal="center" vertical="center"/>
    </xf>
    <xf numFmtId="165" fontId="18" fillId="0" borderId="98" xfId="0" applyNumberFormat="1" applyFont="1" applyBorder="1" applyAlignment="1">
      <alignment horizontal="center" vertical="center"/>
    </xf>
    <xf numFmtId="165" fontId="18" fillId="0" borderId="99" xfId="0" applyNumberFormat="1" applyFont="1" applyBorder="1" applyAlignment="1">
      <alignment horizontal="center" vertical="center"/>
    </xf>
    <xf numFmtId="165" fontId="18" fillId="0" borderId="100" xfId="0" applyNumberFormat="1" applyFont="1" applyBorder="1" applyAlignment="1">
      <alignment horizontal="center" vertical="center"/>
    </xf>
    <xf numFmtId="165" fontId="18" fillId="0" borderId="94" xfId="0" applyNumberFormat="1" applyFont="1" applyBorder="1" applyAlignment="1">
      <alignment horizontal="center" vertical="center"/>
    </xf>
    <xf numFmtId="165" fontId="18" fillId="0" borderId="95" xfId="0" applyNumberFormat="1" applyFont="1" applyBorder="1" applyAlignment="1">
      <alignment horizontal="center" vertical="center"/>
    </xf>
    <xf numFmtId="0" fontId="19" fillId="0" borderId="48" xfId="0" applyFont="1" applyBorder="1" applyAlignment="1">
      <alignment horizontal="left" vertical="center" indent="1"/>
    </xf>
    <xf numFmtId="0" fontId="19" fillId="0" borderId="36" xfId="0" applyFont="1" applyBorder="1" applyAlignment="1">
      <alignment horizontal="left" vertical="center" indent="1"/>
    </xf>
    <xf numFmtId="0" fontId="19" fillId="0" borderId="99" xfId="0" applyFont="1" applyBorder="1" applyAlignment="1">
      <alignment horizontal="left" vertical="center" indent="1"/>
    </xf>
    <xf numFmtId="0" fontId="6" fillId="0" borderId="62" xfId="0" applyFont="1" applyBorder="1" applyAlignment="1">
      <alignment horizontal="center" vertical="center" wrapText="1"/>
    </xf>
    <xf numFmtId="0" fontId="6" fillId="0" borderId="7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 shrinkToFit="1" indent="1"/>
    </xf>
    <xf numFmtId="0" fontId="7" fillId="0" borderId="8" xfId="0" applyFont="1" applyBorder="1" applyAlignment="1">
      <alignment horizontal="left" vertical="center" wrapText="1" shrinkToFit="1" indent="1"/>
    </xf>
    <xf numFmtId="0" fontId="7" fillId="0" borderId="9" xfId="0" applyFont="1" applyBorder="1" applyAlignment="1">
      <alignment horizontal="left" vertical="center" wrapText="1" shrinkToFit="1" indent="1"/>
    </xf>
    <xf numFmtId="0" fontId="6" fillId="0" borderId="80" xfId="0" applyFont="1" applyBorder="1" applyAlignment="1">
      <alignment horizontal="center" vertical="center" wrapText="1"/>
    </xf>
    <xf numFmtId="0" fontId="6" fillId="0" borderId="51" xfId="0" applyFont="1" applyBorder="1" applyAlignment="1">
      <alignment horizontal="center" vertical="center"/>
    </xf>
    <xf numFmtId="0" fontId="7" fillId="0" borderId="52" xfId="0" applyFont="1" applyBorder="1" applyAlignment="1">
      <alignment horizontal="left" vertical="center" indent="1"/>
    </xf>
    <xf numFmtId="0" fontId="7" fillId="0" borderId="35" xfId="0" applyFont="1" applyBorder="1" applyAlignment="1">
      <alignment horizontal="left" vertical="center" indent="1"/>
    </xf>
    <xf numFmtId="0" fontId="7" fillId="0" borderId="53" xfId="0" applyFont="1" applyBorder="1" applyAlignment="1">
      <alignment horizontal="left" vertical="center" indent="1"/>
    </xf>
    <xf numFmtId="0" fontId="6" fillId="0" borderId="69" xfId="0" applyFont="1" applyBorder="1" applyAlignment="1">
      <alignment horizontal="center" vertical="center"/>
    </xf>
    <xf numFmtId="0" fontId="6" fillId="0" borderId="101" xfId="0" applyFont="1" applyBorder="1" applyAlignment="1">
      <alignment horizontal="center" vertical="center"/>
    </xf>
    <xf numFmtId="49" fontId="7" fillId="0" borderId="52" xfId="0" applyNumberFormat="1" applyFont="1" applyBorder="1" applyAlignment="1">
      <alignment horizontal="left" vertical="center" indent="1"/>
    </xf>
    <xf numFmtId="49" fontId="7" fillId="0" borderId="35" xfId="0" applyNumberFormat="1" applyFont="1" applyBorder="1" applyAlignment="1">
      <alignment horizontal="left" vertical="center" indent="1"/>
    </xf>
    <xf numFmtId="49" fontId="7" fillId="0" borderId="53" xfId="0" applyNumberFormat="1" applyFont="1" applyBorder="1" applyAlignment="1">
      <alignment horizontal="left" vertical="center" indent="1"/>
    </xf>
    <xf numFmtId="0" fontId="6" fillId="0" borderId="102" xfId="0" applyFont="1" applyBorder="1" applyAlignment="1">
      <alignment horizontal="center" vertical="center" wrapText="1"/>
    </xf>
    <xf numFmtId="0" fontId="6" fillId="0" borderId="96" xfId="0" applyFont="1" applyBorder="1" applyAlignment="1">
      <alignment horizontal="center" vertical="center"/>
    </xf>
    <xf numFmtId="0" fontId="7" fillId="0" borderId="97" xfId="0" applyFont="1" applyBorder="1" applyAlignment="1">
      <alignment horizontal="left" vertical="center" indent="1"/>
    </xf>
    <xf numFmtId="0" fontId="7" fillId="0" borderId="94" xfId="0" applyFont="1" applyBorder="1" applyAlignment="1">
      <alignment horizontal="left" vertical="center" indent="1"/>
    </xf>
    <xf numFmtId="0" fontId="7" fillId="0" borderId="95" xfId="0" applyFont="1" applyBorder="1" applyAlignment="1">
      <alignment horizontal="left" vertical="center" indent="1"/>
    </xf>
    <xf numFmtId="165" fontId="7" fillId="0" borderId="6" xfId="0" applyNumberFormat="1" applyFont="1" applyBorder="1" applyAlignment="1">
      <alignment horizontal="center" vertical="center"/>
    </xf>
    <xf numFmtId="165" fontId="7" fillId="0" borderId="10" xfId="0" applyNumberFormat="1" applyFont="1" applyBorder="1" applyAlignment="1">
      <alignment horizontal="center" vertical="center"/>
    </xf>
    <xf numFmtId="165" fontId="7" fillId="0" borderId="46" xfId="0" applyNumberFormat="1" applyFont="1" applyBorder="1" applyAlignment="1">
      <alignment horizontal="center" vertical="center"/>
    </xf>
    <xf numFmtId="165" fontId="7" fillId="0" borderId="8" xfId="0" applyNumberFormat="1" applyFont="1" applyBorder="1" applyAlignment="1">
      <alignment horizontal="center" vertical="center"/>
    </xf>
    <xf numFmtId="165" fontId="7" fillId="0" borderId="90" xfId="0" applyNumberFormat="1" applyFont="1" applyBorder="1" applyAlignment="1">
      <alignment horizontal="center" vertical="center"/>
    </xf>
    <xf numFmtId="165" fontId="7" fillId="0" borderId="85" xfId="0" applyNumberFormat="1" applyFont="1" applyBorder="1" applyAlignment="1">
      <alignment horizontal="center" vertical="center"/>
    </xf>
    <xf numFmtId="165" fontId="7" fillId="0" borderId="18" xfId="0" applyNumberFormat="1" applyFont="1" applyBorder="1" applyAlignment="1">
      <alignment horizontal="center" vertical="center"/>
    </xf>
    <xf numFmtId="165" fontId="7" fillId="0" borderId="19" xfId="0" applyNumberFormat="1" applyFont="1" applyBorder="1" applyAlignment="1">
      <alignment horizontal="center" vertical="center"/>
    </xf>
    <xf numFmtId="0" fontId="7" fillId="0" borderId="20" xfId="0" applyFont="1" applyBorder="1" applyAlignment="1">
      <alignment horizontal="left" vertical="center" indent="1"/>
    </xf>
    <xf numFmtId="0" fontId="7" fillId="0" borderId="17" xfId="0" applyFont="1" applyBorder="1" applyAlignment="1">
      <alignment horizontal="left" vertical="center" indent="1"/>
    </xf>
    <xf numFmtId="0" fontId="7" fillId="0" borderId="90" xfId="0" applyFont="1" applyBorder="1" applyAlignment="1">
      <alignment horizontal="left" vertical="center" indent="1"/>
    </xf>
    <xf numFmtId="0" fontId="6" fillId="0" borderId="48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103" xfId="0" applyFont="1" applyBorder="1" applyAlignment="1">
      <alignment horizontal="center" vertical="center"/>
    </xf>
    <xf numFmtId="165" fontId="18" fillId="0" borderId="102" xfId="0" applyNumberFormat="1" applyFont="1" applyBorder="1" applyAlignment="1">
      <alignment horizontal="center" vertical="center"/>
    </xf>
    <xf numFmtId="0" fontId="7" fillId="0" borderId="102" xfId="0" applyFont="1" applyBorder="1" applyAlignment="1">
      <alignment horizontal="left" vertical="center" indent="1"/>
    </xf>
    <xf numFmtId="0" fontId="7" fillId="0" borderId="36" xfId="0" applyFont="1" applyBorder="1" applyAlignment="1">
      <alignment horizontal="left" vertical="center" indent="1"/>
    </xf>
    <xf numFmtId="0" fontId="7" fillId="0" borderId="99" xfId="0" applyFont="1" applyBorder="1" applyAlignment="1">
      <alignment horizontal="left" vertical="center" indent="1"/>
    </xf>
    <xf numFmtId="0" fontId="20" fillId="0" borderId="0" xfId="0" applyFont="1" applyAlignment="1">
      <alignment vertical="center"/>
    </xf>
    <xf numFmtId="0" fontId="6" fillId="0" borderId="104" xfId="0" applyFont="1" applyBorder="1" applyAlignment="1">
      <alignment horizontal="center" vertical="center"/>
    </xf>
    <xf numFmtId="0" fontId="6" fillId="0" borderId="105" xfId="0" applyFont="1" applyBorder="1" applyAlignment="1">
      <alignment horizontal="center" vertical="center"/>
    </xf>
    <xf numFmtId="0" fontId="6" fillId="0" borderId="106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8" fillId="0" borderId="56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170" fontId="7" fillId="0" borderId="88" xfId="0" applyNumberFormat="1" applyFont="1" applyBorder="1" applyAlignment="1">
      <alignment horizontal="center" vertical="center"/>
    </xf>
    <xf numFmtId="170" fontId="7" fillId="0" borderId="2" xfId="0" applyNumberFormat="1" applyFont="1" applyBorder="1" applyAlignment="1">
      <alignment horizontal="center" vertical="center"/>
    </xf>
    <xf numFmtId="170" fontId="7" fillId="0" borderId="3" xfId="0" applyNumberFormat="1" applyFont="1" applyBorder="1" applyAlignment="1">
      <alignment horizontal="center" vertical="center"/>
    </xf>
    <xf numFmtId="170" fontId="7" fillId="0" borderId="1" xfId="0" applyNumberFormat="1" applyFont="1" applyBorder="1" applyAlignment="1">
      <alignment horizontal="center" vertical="center"/>
    </xf>
    <xf numFmtId="170" fontId="7" fillId="0" borderId="34" xfId="0" applyNumberFormat="1" applyFont="1" applyBorder="1" applyAlignment="1">
      <alignment horizontal="center" vertical="center"/>
    </xf>
    <xf numFmtId="20" fontId="7" fillId="0" borderId="88" xfId="0" applyNumberFormat="1" applyFont="1" applyBorder="1" applyAlignment="1">
      <alignment horizontal="center" vertical="center"/>
    </xf>
    <xf numFmtId="20" fontId="7" fillId="0" borderId="2" xfId="0" applyNumberFormat="1" applyFont="1" applyBorder="1" applyAlignment="1">
      <alignment horizontal="center" vertical="center"/>
    </xf>
    <xf numFmtId="20" fontId="7" fillId="0" borderId="34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 indent="1"/>
    </xf>
    <xf numFmtId="0" fontId="7" fillId="0" borderId="8" xfId="0" applyFont="1" applyBorder="1" applyAlignment="1">
      <alignment horizontal="left" vertical="center" indent="1"/>
    </xf>
    <xf numFmtId="0" fontId="7" fillId="0" borderId="9" xfId="0" applyFont="1" applyBorder="1" applyAlignment="1">
      <alignment horizontal="left" vertical="center" indent="1"/>
    </xf>
    <xf numFmtId="0" fontId="7" fillId="0" borderId="107" xfId="0" applyFont="1" applyBorder="1" applyAlignment="1">
      <alignment horizontal="center" vertical="center"/>
    </xf>
    <xf numFmtId="0" fontId="7" fillId="0" borderId="69" xfId="0" applyFont="1" applyBorder="1" applyAlignment="1">
      <alignment horizontal="center" vertical="center"/>
    </xf>
    <xf numFmtId="0" fontId="7" fillId="0" borderId="101" xfId="0" applyFont="1" applyBorder="1" applyAlignment="1">
      <alignment horizontal="center" vertical="center"/>
    </xf>
    <xf numFmtId="0" fontId="7" fillId="0" borderId="88" xfId="0" applyFont="1" applyBorder="1" applyAlignment="1">
      <alignment horizontal="center" vertical="center"/>
    </xf>
    <xf numFmtId="166" fontId="7" fillId="0" borderId="107" xfId="0" applyNumberFormat="1" applyFont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  <xf numFmtId="20" fontId="18" fillId="0" borderId="59" xfId="0" applyNumberFormat="1" applyFont="1" applyBorder="1" applyAlignment="1">
      <alignment horizontal="center" vertical="center"/>
    </xf>
    <xf numFmtId="20" fontId="18" fillId="0" borderId="60" xfId="0" applyNumberFormat="1" applyFont="1" applyBorder="1" applyAlignment="1">
      <alignment horizontal="center" vertical="center"/>
    </xf>
    <xf numFmtId="20" fontId="18" fillId="0" borderId="61" xfId="0" applyNumberFormat="1" applyFont="1" applyBorder="1" applyAlignment="1">
      <alignment horizontal="center" vertical="center"/>
    </xf>
    <xf numFmtId="0" fontId="7" fillId="0" borderId="59" xfId="0" applyFont="1" applyBorder="1" applyAlignment="1">
      <alignment horizontal="left" vertical="center" indent="1"/>
    </xf>
    <xf numFmtId="0" fontId="7" fillId="0" borderId="60" xfId="0" applyFont="1" applyBorder="1" applyAlignment="1">
      <alignment horizontal="left" vertical="center" indent="1"/>
    </xf>
    <xf numFmtId="0" fontId="7" fillId="0" borderId="61" xfId="0" applyFont="1" applyBorder="1" applyAlignment="1">
      <alignment horizontal="left" vertical="center" indent="1"/>
    </xf>
    <xf numFmtId="0" fontId="7" fillId="0" borderId="107" xfId="0" applyFont="1" applyBorder="1" applyAlignment="1">
      <alignment horizontal="left" vertical="center" indent="1"/>
    </xf>
    <xf numFmtId="0" fontId="7" fillId="0" borderId="69" xfId="0" applyFont="1" applyBorder="1" applyAlignment="1">
      <alignment horizontal="left" vertical="center" indent="1"/>
    </xf>
    <xf numFmtId="0" fontId="7" fillId="0" borderId="101" xfId="0" applyFont="1" applyBorder="1" applyAlignment="1">
      <alignment horizontal="left" vertical="center" indent="1"/>
    </xf>
    <xf numFmtId="0" fontId="5" fillId="0" borderId="0" xfId="0" applyFont="1" applyAlignment="1">
      <alignment vertical="center" horizontal="left" indent="1"/>
    </xf>
    <xf numFmtId="0" fontId="5" fillId="0" borderId="0" xfId="0" applyFont="1" applyAlignment="1">
      <alignment horizontal="left" indent="1" vertical="center"/>
    </xf>
    <xf numFmtId="0" fontId="1" fillId="0" borderId="0" xfId="0" applyFont="1" applyAlignment="1">
      <alignment horizontal="left" indent="1" vertical="center"/>
    </xf>
    <xf numFmtId="0" fontId="7" fillId="0" borderId="29" xfId="0" applyFont="1" applyBorder="1" applyAlignment="1">
      <alignment vertical="center" shrinkToFit="1" horizontal="center"/>
    </xf>
    <xf numFmtId="0" fontId="6" fillId="0" borderId="0" xfId="0" applyFont="1" applyAlignment="1">
      <alignment horizontal="left" vertical="center" shrinkToFit="1" indent="1"/>
    </xf>
    <xf numFmtId="0" fontId="5" fillId="0" borderId="0" xfId="0" applyFont="1" applyAlignment="1">
      <alignment horizontal="left" vertical="center" indent="1"/>
    </xf>
    <xf numFmtId="14" fontId="5" fillId="0" borderId="0" xfId="0" applyNumberFormat="1" applyFont="1" applyAlignment="1">
      <alignment horizontal="left" vertical="center" shrinkToFit="1" indent="1"/>
    </xf>
    <xf numFmtId="0" fontId="5" fillId="0" borderId="0" xfId="0" applyFont="1" applyAlignment="1">
      <alignment horizontal="left" vertical="center" shrinkToFit="1" indent="1"/>
    </xf>
    <xf numFmtId="0" fontId="6" fillId="0" borderId="25" xfId="0" applyFont="1" applyBorder="1" applyAlignment="1">
      <alignment horizontal="center" vertical="center" indent="1"/>
    </xf>
    <xf numFmtId="0" fontId="6" fillId="0" borderId="73" xfId="0" applyFont="1" applyBorder="1" applyAlignment="1">
      <alignment horizontal="center" vertical="center" indent="1"/>
    </xf>
    <xf numFmtId="0" fontId="6" fillId="0" borderId="70" xfId="0" applyFont="1" applyBorder="1" applyAlignment="1">
      <alignment horizontal="center" vertical="center" indent="1"/>
    </xf>
    <xf numFmtId="0" fontId="6" fillId="0" borderId="30" xfId="0" applyFont="1" applyBorder="1" applyAlignment="1">
      <alignment horizontal="center" vertical="center" indent="1"/>
    </xf>
    <xf numFmtId="0" fontId="6" fillId="0" borderId="74" xfId="0" applyFont="1" applyBorder="1" applyAlignment="1">
      <alignment horizontal="center" vertical="center" indent="1"/>
    </xf>
    <xf numFmtId="0" fontId="6" fillId="0" borderId="39" xfId="0" applyFont="1" applyBorder="1" applyAlignment="1">
      <alignment horizontal="center" vertical="center" indent="1"/>
    </xf>
    <xf numFmtId="0" fontId="6" fillId="0" borderId="1" xfId="0" applyFont="1" applyBorder="1" applyAlignment="1">
      <alignment horizontal="center" vertical="center" indent="1"/>
    </xf>
    <xf numFmtId="0" fontId="6" fillId="0" borderId="44" xfId="0" applyFont="1" applyBorder="1" applyAlignment="1">
      <alignment horizontal="center" vertical="center" indent="1"/>
    </xf>
    <xf numFmtId="14" fontId="1" fillId="0" borderId="0" xfId="0" applyNumberFormat="1" applyFont="1" applyAlignment="1">
      <alignment horizontal="left" vertical="center" indent="1"/>
    </xf>
    <xf numFmtId="0" fontId="1" fillId="0" borderId="0" xfId="0" applyFont="1" applyAlignment="1">
      <alignment vertical="center" horizontal="left" indent="1"/>
    </xf>
    <xf numFmtId="0" fontId="6" fillId="0" borderId="25" xfId="0" applyFont="1" applyBorder="1" applyAlignment="1">
      <alignment vertical="center" horizontal="center"/>
    </xf>
    <xf numFmtId="0" fontId="6" fillId="0" borderId="71" xfId="0" applyFont="1" applyBorder="1" applyAlignment="1">
      <alignment vertical="center" horizontal="center"/>
    </xf>
    <xf numFmtId="0" fontId="6" fillId="0" borderId="26" xfId="0" applyFont="1" applyBorder="1" applyAlignment="1">
      <alignment vertical="center" horizontal="center"/>
    </xf>
    <xf numFmtId="0" fontId="6" fillId="0" borderId="28" xfId="0" applyFont="1" applyBorder="1" applyAlignment="1">
      <alignment vertical="center" horizontal="center"/>
    </xf>
    <xf numFmtId="0" fontId="7" fillId="0" borderId="25" xfId="0" applyFont="1" applyBorder="1" applyAlignment="1">
      <alignment horizontal="center" vertical="center" shrinkToFit="1" indent="1"/>
    </xf>
    <xf numFmtId="0" fontId="6" fillId="0" borderId="33" xfId="0" applyFont="1" applyBorder="1" applyAlignment="1">
      <alignment vertical="center" horizontal="center"/>
    </xf>
    <xf numFmtId="0" fontId="6" fillId="0" borderId="1" xfId="0" applyFont="1" applyBorder="1" applyAlignment="1">
      <alignment vertical="center" horizontal="center"/>
    </xf>
    <xf numFmtId="0" fontId="6" fillId="0" borderId="2" xfId="0" applyFont="1" applyBorder="1" applyAlignment="1">
      <alignment vertical="center" horizontal="center"/>
    </xf>
    <xf numFmtId="0" fontId="6" fillId="0" borderId="3" xfId="0" applyFont="1" applyBorder="1" applyAlignment="1">
      <alignment vertical="center" horizontal="center"/>
    </xf>
    <xf numFmtId="0" fontId="7" fillId="0" borderId="33" xfId="0" applyFont="1" applyBorder="1" applyAlignment="1">
      <alignment horizontal="center" vertical="center" indent="1"/>
    </xf>
    <xf numFmtId="0" fontId="7" fillId="0" borderId="33" xfId="0" applyFont="1" applyBorder="1" applyAlignment="1">
      <alignment horizontal="center" vertical="center" shrinkToFit="1" indent="1"/>
    </xf>
    <xf numFmtId="0" fontId="6" fillId="0" borderId="30" xfId="0" applyFont="1" applyBorder="1" applyAlignment="1">
      <alignment vertical="center" horizontal="center"/>
    </xf>
    <xf numFmtId="0" fontId="7" fillId="0" borderId="30" xfId="0" applyFont="1" applyBorder="1" applyAlignment="1">
      <alignment horizontal="center" vertical="center" indent="1"/>
    </xf>
    <xf numFmtId="0" fontId="7" fillId="0" borderId="25" xfId="0" applyFont="1" applyBorder="1" applyAlignment="1">
      <alignment horizontal="center" vertical="center" indent="1"/>
    </xf>
    <xf numFmtId="0" fontId="6" fillId="0" borderId="33" xfId="0" applyFont="1" applyBorder="1" applyAlignment="1">
      <alignment horizontal="center" vertical="center" indent="1"/>
    </xf>
    <xf numFmtId="164" fontId="1" fillId="0" borderId="0" xfId="0" applyNumberFormat="1" applyFont="1" applyAlignment="1">
      <alignment horizontal="left" vertical="center" indent="1"/>
    </xf>
    <xf numFmtId="0" fontId="13" fillId="0" borderId="33" xfId="0" applyFont="1" applyBorder="1" applyAlignment="1">
      <alignment vertical="center" horizontal="center"/>
    </xf>
    <xf numFmtId="0" fontId="13" fillId="0" borderId="87" xfId="0" applyFont="1" applyBorder="1" applyAlignment="1">
      <alignment vertical="center" horizontal="center"/>
    </xf>
    <xf numFmtId="0" fontId="13" fillId="0" borderId="39" xfId="0" applyFont="1" applyBorder="1" applyAlignment="1">
      <alignment vertical="center" horizontal="center"/>
    </xf>
    <xf numFmtId="0" fontId="13" fillId="0" borderId="40" xfId="0" applyFont="1" applyBorder="1" applyAlignment="1">
      <alignment vertical="center" horizontal="center"/>
    </xf>
    <xf numFmtId="14" fontId="6" fillId="0" borderId="0" xfId="0" applyNumberFormat="1" applyFont="1" applyAlignment="1">
      <alignment horizontal="left" vertical="center" shrinkToFit="1" indent="1"/>
    </xf>
    <xf numFmtId="0" fontId="6" fillId="0" borderId="0" xfId="0" applyFont="1" applyAlignment="1">
      <alignment horizontal="left" indent="1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ns3:slicerStyles defaultSlicerStyle="SlicerStyleLight1"/>
    </ext>
    <ext uri="{9260A510-F301-46a8-8635-F512D64BE5F5}">
      <ns4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17.xml"/><Relationship Id="rId7" Type="http://schemas.openxmlformats.org/officeDocument/2006/relationships/worksheet" Target="worksheets/sheet15.xml"/><Relationship Id="rId8" Type="http://schemas.openxmlformats.org/officeDocument/2006/relationships/worksheet" Target="worksheets/sheet18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Y47"/>
  <sheetViews>
    <sheetView workbookViewId="0" zoomScale="90" zoomScaleNormal="90">
      <selection activeCell="C3" sqref="C3"/>
    </sheetView>
  </sheetViews>
  <sheetFormatPr defaultRowHeight="19.2" outlineLevelRow="0" outlineLevelCol="0" x14ac:dyDescent="0" customHeight="1"/>
  <cols>
    <col min="1" max="1" width="6.09765625" style="3" customWidth="1"/>
    <col min="2" max="2" width="18.59765625" style="3" customWidth="1"/>
    <col min="3" max="3" width="9.59765625" style="3" customWidth="1"/>
    <col min="4" max="4" width="10.59765625" style="3" customWidth="1"/>
    <col min="5" max="5" width="10.69921875" style="3" customWidth="1"/>
    <col min="6" max="6" width="5.8984375" style="3" customWidth="1"/>
    <col min="7" max="7" width="9.09765625" style="3" customWidth="1"/>
    <col min="8" max="8" width="13.3984375" style="3" customWidth="1"/>
    <col min="9" max="255" width="9" style="3" customWidth="1"/>
    <col min="256" max="256" width="6.5" style="3" customWidth="1"/>
    <col min="257" max="257" width="19.09765625" style="3" customWidth="1"/>
    <col min="258" max="260" width="10.69921875" style="3" customWidth="1"/>
    <col min="261" max="261" width="5.8984375" style="3" customWidth="1"/>
    <col min="262" max="262" width="8.5" style="3" customWidth="1"/>
    <col min="263" max="263" width="14" style="3" customWidth="1"/>
    <col min="264" max="264" width="2" style="3" customWidth="1"/>
    <col min="265" max="511" width="9" style="3" customWidth="1"/>
    <col min="512" max="512" width="6.5" style="3" customWidth="1"/>
    <col min="513" max="513" width="19.09765625" style="3" customWidth="1"/>
    <col min="514" max="516" width="10.69921875" style="3" customWidth="1"/>
    <col min="517" max="517" width="5.8984375" style="3" customWidth="1"/>
    <col min="518" max="518" width="8.5" style="3" customWidth="1"/>
    <col min="519" max="519" width="14" style="3" customWidth="1"/>
    <col min="520" max="520" width="2" style="3" customWidth="1"/>
    <col min="521" max="767" width="9" style="3" customWidth="1"/>
    <col min="768" max="768" width="6.5" style="3" customWidth="1"/>
    <col min="769" max="769" width="19.09765625" style="3" customWidth="1"/>
    <col min="770" max="772" width="10.69921875" style="3" customWidth="1"/>
    <col min="773" max="773" width="5.8984375" style="3" customWidth="1"/>
    <col min="774" max="774" width="8.5" style="3" customWidth="1"/>
    <col min="775" max="775" width="14" style="3" customWidth="1"/>
    <col min="776" max="776" width="2" style="3" customWidth="1"/>
    <col min="777" max="1023" width="9" style="3" customWidth="1"/>
    <col min="1024" max="1024" width="6.5" style="3" customWidth="1"/>
    <col min="1025" max="1025" width="19.09765625" style="3" customWidth="1"/>
    <col min="1026" max="1028" width="10.69921875" style="3" customWidth="1"/>
    <col min="1029" max="1029" width="5.8984375" style="3" customWidth="1"/>
    <col min="1030" max="1030" width="8.5" style="3" customWidth="1"/>
    <col min="1031" max="1031" width="14" style="3" customWidth="1"/>
    <col min="1032" max="1032" width="2" style="3" customWidth="1"/>
    <col min="1033" max="1279" width="9" style="3" customWidth="1"/>
    <col min="1280" max="1280" width="6.5" style="3" customWidth="1"/>
    <col min="1281" max="1281" width="19.09765625" style="3" customWidth="1"/>
    <col min="1282" max="1284" width="10.69921875" style="3" customWidth="1"/>
    <col min="1285" max="1285" width="5.8984375" style="3" customWidth="1"/>
    <col min="1286" max="1286" width="8.5" style="3" customWidth="1"/>
    <col min="1287" max="1287" width="14" style="3" customWidth="1"/>
    <col min="1288" max="1288" width="2" style="3" customWidth="1"/>
    <col min="1289" max="1535" width="9" style="3" customWidth="1"/>
    <col min="1536" max="1536" width="6.5" style="3" customWidth="1"/>
    <col min="1537" max="1537" width="19.09765625" style="3" customWidth="1"/>
    <col min="1538" max="1540" width="10.69921875" style="3" customWidth="1"/>
    <col min="1541" max="1541" width="5.8984375" style="3" customWidth="1"/>
    <col min="1542" max="1542" width="8.5" style="3" customWidth="1"/>
    <col min="1543" max="1543" width="14" style="3" customWidth="1"/>
    <col min="1544" max="1544" width="2" style="3" customWidth="1"/>
    <col min="1545" max="1791" width="9" style="3" customWidth="1"/>
    <col min="1792" max="1792" width="6.5" style="3" customWidth="1"/>
    <col min="1793" max="1793" width="19.09765625" style="3" customWidth="1"/>
    <col min="1794" max="1796" width="10.69921875" style="3" customWidth="1"/>
    <col min="1797" max="1797" width="5.8984375" style="3" customWidth="1"/>
    <col min="1798" max="1798" width="8.5" style="3" customWidth="1"/>
    <col min="1799" max="1799" width="14" style="3" customWidth="1"/>
    <col min="1800" max="1800" width="2" style="3" customWidth="1"/>
    <col min="1801" max="2047" width="9" style="3" customWidth="1"/>
    <col min="2048" max="2048" width="6.5" style="3" customWidth="1"/>
    <col min="2049" max="2049" width="19.09765625" style="3" customWidth="1"/>
    <col min="2050" max="2052" width="10.69921875" style="3" customWidth="1"/>
    <col min="2053" max="2053" width="5.8984375" style="3" customWidth="1"/>
    <col min="2054" max="2054" width="8.5" style="3" customWidth="1"/>
    <col min="2055" max="2055" width="14" style="3" customWidth="1"/>
    <col min="2056" max="2056" width="2" style="3" customWidth="1"/>
    <col min="2057" max="2303" width="9" style="3" customWidth="1"/>
    <col min="2304" max="2304" width="6.5" style="3" customWidth="1"/>
    <col min="2305" max="2305" width="19.09765625" style="3" customWidth="1"/>
    <col min="2306" max="2308" width="10.69921875" style="3" customWidth="1"/>
    <col min="2309" max="2309" width="5.8984375" style="3" customWidth="1"/>
    <col min="2310" max="2310" width="8.5" style="3" customWidth="1"/>
    <col min="2311" max="2311" width="14" style="3" customWidth="1"/>
    <col min="2312" max="2312" width="2" style="3" customWidth="1"/>
    <col min="2313" max="2559" width="9" style="3" customWidth="1"/>
    <col min="2560" max="2560" width="6.5" style="3" customWidth="1"/>
    <col min="2561" max="2561" width="19.09765625" style="3" customWidth="1"/>
    <col min="2562" max="2564" width="10.69921875" style="3" customWidth="1"/>
    <col min="2565" max="2565" width="5.8984375" style="3" customWidth="1"/>
    <col min="2566" max="2566" width="8.5" style="3" customWidth="1"/>
    <col min="2567" max="2567" width="14" style="3" customWidth="1"/>
    <col min="2568" max="2568" width="2" style="3" customWidth="1"/>
    <col min="2569" max="2815" width="9" style="3" customWidth="1"/>
    <col min="2816" max="2816" width="6.5" style="3" customWidth="1"/>
    <col min="2817" max="2817" width="19.09765625" style="3" customWidth="1"/>
    <col min="2818" max="2820" width="10.69921875" style="3" customWidth="1"/>
    <col min="2821" max="2821" width="5.8984375" style="3" customWidth="1"/>
    <col min="2822" max="2822" width="8.5" style="3" customWidth="1"/>
    <col min="2823" max="2823" width="14" style="3" customWidth="1"/>
    <col min="2824" max="2824" width="2" style="3" customWidth="1"/>
    <col min="2825" max="3071" width="9" style="3" customWidth="1"/>
    <col min="3072" max="3072" width="6.5" style="3" customWidth="1"/>
    <col min="3073" max="3073" width="19.09765625" style="3" customWidth="1"/>
    <col min="3074" max="3076" width="10.69921875" style="3" customWidth="1"/>
    <col min="3077" max="3077" width="5.8984375" style="3" customWidth="1"/>
    <col min="3078" max="3078" width="8.5" style="3" customWidth="1"/>
    <col min="3079" max="3079" width="14" style="3" customWidth="1"/>
    <col min="3080" max="3080" width="2" style="3" customWidth="1"/>
    <col min="3081" max="3327" width="9" style="3" customWidth="1"/>
    <col min="3328" max="3328" width="6.5" style="3" customWidth="1"/>
    <col min="3329" max="3329" width="19.09765625" style="3" customWidth="1"/>
    <col min="3330" max="3332" width="10.69921875" style="3" customWidth="1"/>
    <col min="3333" max="3333" width="5.8984375" style="3" customWidth="1"/>
    <col min="3334" max="3334" width="8.5" style="3" customWidth="1"/>
    <col min="3335" max="3335" width="14" style="3" customWidth="1"/>
    <col min="3336" max="3336" width="2" style="3" customWidth="1"/>
    <col min="3337" max="3583" width="9" style="3" customWidth="1"/>
    <col min="3584" max="3584" width="6.5" style="3" customWidth="1"/>
    <col min="3585" max="3585" width="19.09765625" style="3" customWidth="1"/>
    <col min="3586" max="3588" width="10.69921875" style="3" customWidth="1"/>
    <col min="3589" max="3589" width="5.8984375" style="3" customWidth="1"/>
    <col min="3590" max="3590" width="8.5" style="3" customWidth="1"/>
    <col min="3591" max="3591" width="14" style="3" customWidth="1"/>
    <col min="3592" max="3592" width="2" style="3" customWidth="1"/>
    <col min="3593" max="3839" width="9" style="3" customWidth="1"/>
    <col min="3840" max="3840" width="6.5" style="3" customWidth="1"/>
    <col min="3841" max="3841" width="19.09765625" style="3" customWidth="1"/>
    <col min="3842" max="3844" width="10.69921875" style="3" customWidth="1"/>
    <col min="3845" max="3845" width="5.8984375" style="3" customWidth="1"/>
    <col min="3846" max="3846" width="8.5" style="3" customWidth="1"/>
    <col min="3847" max="3847" width="14" style="3" customWidth="1"/>
    <col min="3848" max="3848" width="2" style="3" customWidth="1"/>
    <col min="3849" max="4095" width="9" style="3" customWidth="1"/>
    <col min="4096" max="4096" width="6.5" style="3" customWidth="1"/>
    <col min="4097" max="4097" width="19.09765625" style="3" customWidth="1"/>
    <col min="4098" max="4100" width="10.69921875" style="3" customWidth="1"/>
    <col min="4101" max="4101" width="5.8984375" style="3" customWidth="1"/>
    <col min="4102" max="4102" width="8.5" style="3" customWidth="1"/>
    <col min="4103" max="4103" width="14" style="3" customWidth="1"/>
    <col min="4104" max="4104" width="2" style="3" customWidth="1"/>
    <col min="4105" max="4351" width="9" style="3" customWidth="1"/>
    <col min="4352" max="4352" width="6.5" style="3" customWidth="1"/>
    <col min="4353" max="4353" width="19.09765625" style="3" customWidth="1"/>
    <col min="4354" max="4356" width="10.69921875" style="3" customWidth="1"/>
    <col min="4357" max="4357" width="5.8984375" style="3" customWidth="1"/>
    <col min="4358" max="4358" width="8.5" style="3" customWidth="1"/>
    <col min="4359" max="4359" width="14" style="3" customWidth="1"/>
    <col min="4360" max="4360" width="2" style="3" customWidth="1"/>
    <col min="4361" max="4607" width="9" style="3" customWidth="1"/>
    <col min="4608" max="4608" width="6.5" style="3" customWidth="1"/>
    <col min="4609" max="4609" width="19.09765625" style="3" customWidth="1"/>
    <col min="4610" max="4612" width="10.69921875" style="3" customWidth="1"/>
    <col min="4613" max="4613" width="5.8984375" style="3" customWidth="1"/>
    <col min="4614" max="4614" width="8.5" style="3" customWidth="1"/>
    <col min="4615" max="4615" width="14" style="3" customWidth="1"/>
    <col min="4616" max="4616" width="2" style="3" customWidth="1"/>
    <col min="4617" max="4863" width="9" style="3" customWidth="1"/>
    <col min="4864" max="4864" width="6.5" style="3" customWidth="1"/>
    <col min="4865" max="4865" width="19.09765625" style="3" customWidth="1"/>
    <col min="4866" max="4868" width="10.69921875" style="3" customWidth="1"/>
    <col min="4869" max="4869" width="5.8984375" style="3" customWidth="1"/>
    <col min="4870" max="4870" width="8.5" style="3" customWidth="1"/>
    <col min="4871" max="4871" width="14" style="3" customWidth="1"/>
    <col min="4872" max="4872" width="2" style="3" customWidth="1"/>
    <col min="4873" max="5119" width="9" style="3" customWidth="1"/>
    <col min="5120" max="5120" width="6.5" style="3" customWidth="1"/>
    <col min="5121" max="5121" width="19.09765625" style="3" customWidth="1"/>
    <col min="5122" max="5124" width="10.69921875" style="3" customWidth="1"/>
    <col min="5125" max="5125" width="5.8984375" style="3" customWidth="1"/>
    <col min="5126" max="5126" width="8.5" style="3" customWidth="1"/>
    <col min="5127" max="5127" width="14" style="3" customWidth="1"/>
    <col min="5128" max="5128" width="2" style="3" customWidth="1"/>
    <col min="5129" max="5375" width="9" style="3" customWidth="1"/>
    <col min="5376" max="5376" width="6.5" style="3" customWidth="1"/>
    <col min="5377" max="5377" width="19.09765625" style="3" customWidth="1"/>
    <col min="5378" max="5380" width="10.69921875" style="3" customWidth="1"/>
    <col min="5381" max="5381" width="5.8984375" style="3" customWidth="1"/>
    <col min="5382" max="5382" width="8.5" style="3" customWidth="1"/>
    <col min="5383" max="5383" width="14" style="3" customWidth="1"/>
    <col min="5384" max="5384" width="2" style="3" customWidth="1"/>
    <col min="5385" max="5631" width="9" style="3" customWidth="1"/>
    <col min="5632" max="5632" width="6.5" style="3" customWidth="1"/>
    <col min="5633" max="5633" width="19.09765625" style="3" customWidth="1"/>
    <col min="5634" max="5636" width="10.69921875" style="3" customWidth="1"/>
    <col min="5637" max="5637" width="5.8984375" style="3" customWidth="1"/>
    <col min="5638" max="5638" width="8.5" style="3" customWidth="1"/>
    <col min="5639" max="5639" width="14" style="3" customWidth="1"/>
    <col min="5640" max="5640" width="2" style="3" customWidth="1"/>
    <col min="5641" max="5887" width="9" style="3" customWidth="1"/>
    <col min="5888" max="5888" width="6.5" style="3" customWidth="1"/>
    <col min="5889" max="5889" width="19.09765625" style="3" customWidth="1"/>
    <col min="5890" max="5892" width="10.69921875" style="3" customWidth="1"/>
    <col min="5893" max="5893" width="5.8984375" style="3" customWidth="1"/>
    <col min="5894" max="5894" width="8.5" style="3" customWidth="1"/>
    <col min="5895" max="5895" width="14" style="3" customWidth="1"/>
    <col min="5896" max="5896" width="2" style="3" customWidth="1"/>
    <col min="5897" max="6143" width="9" style="3" customWidth="1"/>
    <col min="6144" max="6144" width="6.5" style="3" customWidth="1"/>
    <col min="6145" max="6145" width="19.09765625" style="3" customWidth="1"/>
    <col min="6146" max="6148" width="10.69921875" style="3" customWidth="1"/>
    <col min="6149" max="6149" width="5.8984375" style="3" customWidth="1"/>
    <col min="6150" max="6150" width="8.5" style="3" customWidth="1"/>
    <col min="6151" max="6151" width="14" style="3" customWidth="1"/>
    <col min="6152" max="6152" width="2" style="3" customWidth="1"/>
    <col min="6153" max="6399" width="9" style="3" customWidth="1"/>
    <col min="6400" max="6400" width="6.5" style="3" customWidth="1"/>
    <col min="6401" max="6401" width="19.09765625" style="3" customWidth="1"/>
    <col min="6402" max="6404" width="10.69921875" style="3" customWidth="1"/>
    <col min="6405" max="6405" width="5.8984375" style="3" customWidth="1"/>
    <col min="6406" max="6406" width="8.5" style="3" customWidth="1"/>
    <col min="6407" max="6407" width="14" style="3" customWidth="1"/>
    <col min="6408" max="6408" width="2" style="3" customWidth="1"/>
    <col min="6409" max="6655" width="9" style="3" customWidth="1"/>
    <col min="6656" max="6656" width="6.5" style="3" customWidth="1"/>
    <col min="6657" max="6657" width="19.09765625" style="3" customWidth="1"/>
    <col min="6658" max="6660" width="10.69921875" style="3" customWidth="1"/>
    <col min="6661" max="6661" width="5.8984375" style="3" customWidth="1"/>
    <col min="6662" max="6662" width="8.5" style="3" customWidth="1"/>
    <col min="6663" max="6663" width="14" style="3" customWidth="1"/>
    <col min="6664" max="6664" width="2" style="3" customWidth="1"/>
    <col min="6665" max="6911" width="9" style="3" customWidth="1"/>
    <col min="6912" max="6912" width="6.5" style="3" customWidth="1"/>
    <col min="6913" max="6913" width="19.09765625" style="3" customWidth="1"/>
    <col min="6914" max="6916" width="10.69921875" style="3" customWidth="1"/>
    <col min="6917" max="6917" width="5.8984375" style="3" customWidth="1"/>
    <col min="6918" max="6918" width="8.5" style="3" customWidth="1"/>
    <col min="6919" max="6919" width="14" style="3" customWidth="1"/>
    <col min="6920" max="6920" width="2" style="3" customWidth="1"/>
    <col min="6921" max="7167" width="9" style="3" customWidth="1"/>
    <col min="7168" max="7168" width="6.5" style="3" customWidth="1"/>
    <col min="7169" max="7169" width="19.09765625" style="3" customWidth="1"/>
    <col min="7170" max="7172" width="10.69921875" style="3" customWidth="1"/>
    <col min="7173" max="7173" width="5.8984375" style="3" customWidth="1"/>
    <col min="7174" max="7174" width="8.5" style="3" customWidth="1"/>
    <col min="7175" max="7175" width="14" style="3" customWidth="1"/>
    <col min="7176" max="7176" width="2" style="3" customWidth="1"/>
    <col min="7177" max="7423" width="9" style="3" customWidth="1"/>
    <col min="7424" max="7424" width="6.5" style="3" customWidth="1"/>
    <col min="7425" max="7425" width="19.09765625" style="3" customWidth="1"/>
    <col min="7426" max="7428" width="10.69921875" style="3" customWidth="1"/>
    <col min="7429" max="7429" width="5.8984375" style="3" customWidth="1"/>
    <col min="7430" max="7430" width="8.5" style="3" customWidth="1"/>
    <col min="7431" max="7431" width="14" style="3" customWidth="1"/>
    <col min="7432" max="7432" width="2" style="3" customWidth="1"/>
    <col min="7433" max="7679" width="9" style="3" customWidth="1"/>
    <col min="7680" max="7680" width="6.5" style="3" customWidth="1"/>
    <col min="7681" max="7681" width="19.09765625" style="3" customWidth="1"/>
    <col min="7682" max="7684" width="10.69921875" style="3" customWidth="1"/>
    <col min="7685" max="7685" width="5.8984375" style="3" customWidth="1"/>
    <col min="7686" max="7686" width="8.5" style="3" customWidth="1"/>
    <col min="7687" max="7687" width="14" style="3" customWidth="1"/>
    <col min="7688" max="7688" width="2" style="3" customWidth="1"/>
    <col min="7689" max="7935" width="9" style="3" customWidth="1"/>
    <col min="7936" max="7936" width="6.5" style="3" customWidth="1"/>
    <col min="7937" max="7937" width="19.09765625" style="3" customWidth="1"/>
    <col min="7938" max="7940" width="10.69921875" style="3" customWidth="1"/>
    <col min="7941" max="7941" width="5.8984375" style="3" customWidth="1"/>
    <col min="7942" max="7942" width="8.5" style="3" customWidth="1"/>
    <col min="7943" max="7943" width="14" style="3" customWidth="1"/>
    <col min="7944" max="7944" width="2" style="3" customWidth="1"/>
    <col min="7945" max="8191" width="9" style="3" customWidth="1"/>
    <col min="8192" max="8192" width="6.5" style="3" customWidth="1"/>
    <col min="8193" max="8193" width="19.09765625" style="3" customWidth="1"/>
    <col min="8194" max="8196" width="10.69921875" style="3" customWidth="1"/>
    <col min="8197" max="8197" width="5.8984375" style="3" customWidth="1"/>
    <col min="8198" max="8198" width="8.5" style="3" customWidth="1"/>
    <col min="8199" max="8199" width="14" style="3" customWidth="1"/>
    <col min="8200" max="8200" width="2" style="3" customWidth="1"/>
    <col min="8201" max="8447" width="9" style="3" customWidth="1"/>
    <col min="8448" max="8448" width="6.5" style="3" customWidth="1"/>
    <col min="8449" max="8449" width="19.09765625" style="3" customWidth="1"/>
    <col min="8450" max="8452" width="10.69921875" style="3" customWidth="1"/>
    <col min="8453" max="8453" width="5.8984375" style="3" customWidth="1"/>
    <col min="8454" max="8454" width="8.5" style="3" customWidth="1"/>
    <col min="8455" max="8455" width="14" style="3" customWidth="1"/>
    <col min="8456" max="8456" width="2" style="3" customWidth="1"/>
    <col min="8457" max="8703" width="9" style="3" customWidth="1"/>
    <col min="8704" max="8704" width="6.5" style="3" customWidth="1"/>
    <col min="8705" max="8705" width="19.09765625" style="3" customWidth="1"/>
    <col min="8706" max="8708" width="10.69921875" style="3" customWidth="1"/>
    <col min="8709" max="8709" width="5.8984375" style="3" customWidth="1"/>
    <col min="8710" max="8710" width="8.5" style="3" customWidth="1"/>
    <col min="8711" max="8711" width="14" style="3" customWidth="1"/>
    <col min="8712" max="8712" width="2" style="3" customWidth="1"/>
    <col min="8713" max="8959" width="9" style="3" customWidth="1"/>
    <col min="8960" max="8960" width="6.5" style="3" customWidth="1"/>
    <col min="8961" max="8961" width="19.09765625" style="3" customWidth="1"/>
    <col min="8962" max="8964" width="10.69921875" style="3" customWidth="1"/>
    <col min="8965" max="8965" width="5.8984375" style="3" customWidth="1"/>
    <col min="8966" max="8966" width="8.5" style="3" customWidth="1"/>
    <col min="8967" max="8967" width="14" style="3" customWidth="1"/>
    <col min="8968" max="8968" width="2" style="3" customWidth="1"/>
    <col min="8969" max="9215" width="9" style="3" customWidth="1"/>
    <col min="9216" max="9216" width="6.5" style="3" customWidth="1"/>
    <col min="9217" max="9217" width="19.09765625" style="3" customWidth="1"/>
    <col min="9218" max="9220" width="10.69921875" style="3" customWidth="1"/>
    <col min="9221" max="9221" width="5.8984375" style="3" customWidth="1"/>
    <col min="9222" max="9222" width="8.5" style="3" customWidth="1"/>
    <col min="9223" max="9223" width="14" style="3" customWidth="1"/>
    <col min="9224" max="9224" width="2" style="3" customWidth="1"/>
    <col min="9225" max="9471" width="9" style="3" customWidth="1"/>
    <col min="9472" max="9472" width="6.5" style="3" customWidth="1"/>
    <col min="9473" max="9473" width="19.09765625" style="3" customWidth="1"/>
    <col min="9474" max="9476" width="10.69921875" style="3" customWidth="1"/>
    <col min="9477" max="9477" width="5.8984375" style="3" customWidth="1"/>
    <col min="9478" max="9478" width="8.5" style="3" customWidth="1"/>
    <col min="9479" max="9479" width="14" style="3" customWidth="1"/>
    <col min="9480" max="9480" width="2" style="3" customWidth="1"/>
    <col min="9481" max="9727" width="9" style="3" customWidth="1"/>
    <col min="9728" max="9728" width="6.5" style="3" customWidth="1"/>
    <col min="9729" max="9729" width="19.09765625" style="3" customWidth="1"/>
    <col min="9730" max="9732" width="10.69921875" style="3" customWidth="1"/>
    <col min="9733" max="9733" width="5.8984375" style="3" customWidth="1"/>
    <col min="9734" max="9734" width="8.5" style="3" customWidth="1"/>
    <col min="9735" max="9735" width="14" style="3" customWidth="1"/>
    <col min="9736" max="9736" width="2" style="3" customWidth="1"/>
    <col min="9737" max="9983" width="9" style="3" customWidth="1"/>
    <col min="9984" max="9984" width="6.5" style="3" customWidth="1"/>
    <col min="9985" max="9985" width="19.09765625" style="3" customWidth="1"/>
    <col min="9986" max="9988" width="10.69921875" style="3" customWidth="1"/>
    <col min="9989" max="9989" width="5.8984375" style="3" customWidth="1"/>
    <col min="9990" max="9990" width="8.5" style="3" customWidth="1"/>
    <col min="9991" max="9991" width="14" style="3" customWidth="1"/>
    <col min="9992" max="9992" width="2" style="3" customWidth="1"/>
    <col min="9993" max="10239" width="9" style="3" customWidth="1"/>
    <col min="10240" max="10240" width="6.5" style="3" customWidth="1"/>
    <col min="10241" max="10241" width="19.09765625" style="3" customWidth="1"/>
    <col min="10242" max="10244" width="10.69921875" style="3" customWidth="1"/>
    <col min="10245" max="10245" width="5.8984375" style="3" customWidth="1"/>
    <col min="10246" max="10246" width="8.5" style="3" customWidth="1"/>
    <col min="10247" max="10247" width="14" style="3" customWidth="1"/>
    <col min="10248" max="10248" width="2" style="3" customWidth="1"/>
    <col min="10249" max="10495" width="9" style="3" customWidth="1"/>
    <col min="10496" max="10496" width="6.5" style="3" customWidth="1"/>
    <col min="10497" max="10497" width="19.09765625" style="3" customWidth="1"/>
    <col min="10498" max="10500" width="10.69921875" style="3" customWidth="1"/>
    <col min="10501" max="10501" width="5.8984375" style="3" customWidth="1"/>
    <col min="10502" max="10502" width="8.5" style="3" customWidth="1"/>
    <col min="10503" max="10503" width="14" style="3" customWidth="1"/>
    <col min="10504" max="10504" width="2" style="3" customWidth="1"/>
    <col min="10505" max="10751" width="9" style="3" customWidth="1"/>
    <col min="10752" max="10752" width="6.5" style="3" customWidth="1"/>
    <col min="10753" max="10753" width="19.09765625" style="3" customWidth="1"/>
    <col min="10754" max="10756" width="10.69921875" style="3" customWidth="1"/>
    <col min="10757" max="10757" width="5.8984375" style="3" customWidth="1"/>
    <col min="10758" max="10758" width="8.5" style="3" customWidth="1"/>
    <col min="10759" max="10759" width="14" style="3" customWidth="1"/>
    <col min="10760" max="10760" width="2" style="3" customWidth="1"/>
    <col min="10761" max="11007" width="9" style="3" customWidth="1"/>
    <col min="11008" max="11008" width="6.5" style="3" customWidth="1"/>
    <col min="11009" max="11009" width="19.09765625" style="3" customWidth="1"/>
    <col min="11010" max="11012" width="10.69921875" style="3" customWidth="1"/>
    <col min="11013" max="11013" width="5.8984375" style="3" customWidth="1"/>
    <col min="11014" max="11014" width="8.5" style="3" customWidth="1"/>
    <col min="11015" max="11015" width="14" style="3" customWidth="1"/>
    <col min="11016" max="11016" width="2" style="3" customWidth="1"/>
    <col min="11017" max="11263" width="9" style="3" customWidth="1"/>
    <col min="11264" max="11264" width="6.5" style="3" customWidth="1"/>
    <col min="11265" max="11265" width="19.09765625" style="3" customWidth="1"/>
    <col min="11266" max="11268" width="10.69921875" style="3" customWidth="1"/>
    <col min="11269" max="11269" width="5.8984375" style="3" customWidth="1"/>
    <col min="11270" max="11270" width="8.5" style="3" customWidth="1"/>
    <col min="11271" max="11271" width="14" style="3" customWidth="1"/>
    <col min="11272" max="11272" width="2" style="3" customWidth="1"/>
    <col min="11273" max="11519" width="9" style="3" customWidth="1"/>
    <col min="11520" max="11520" width="6.5" style="3" customWidth="1"/>
    <col min="11521" max="11521" width="19.09765625" style="3" customWidth="1"/>
    <col min="11522" max="11524" width="10.69921875" style="3" customWidth="1"/>
    <col min="11525" max="11525" width="5.8984375" style="3" customWidth="1"/>
    <col min="11526" max="11526" width="8.5" style="3" customWidth="1"/>
    <col min="11527" max="11527" width="14" style="3" customWidth="1"/>
    <col min="11528" max="11528" width="2" style="3" customWidth="1"/>
    <col min="11529" max="11775" width="9" style="3" customWidth="1"/>
    <col min="11776" max="11776" width="6.5" style="3" customWidth="1"/>
    <col min="11777" max="11777" width="19.09765625" style="3" customWidth="1"/>
    <col min="11778" max="11780" width="10.69921875" style="3" customWidth="1"/>
    <col min="11781" max="11781" width="5.8984375" style="3" customWidth="1"/>
    <col min="11782" max="11782" width="8.5" style="3" customWidth="1"/>
    <col min="11783" max="11783" width="14" style="3" customWidth="1"/>
    <col min="11784" max="11784" width="2" style="3" customWidth="1"/>
    <col min="11785" max="12031" width="9" style="3" customWidth="1"/>
    <col min="12032" max="12032" width="6.5" style="3" customWidth="1"/>
    <col min="12033" max="12033" width="19.09765625" style="3" customWidth="1"/>
    <col min="12034" max="12036" width="10.69921875" style="3" customWidth="1"/>
    <col min="12037" max="12037" width="5.8984375" style="3" customWidth="1"/>
    <col min="12038" max="12038" width="8.5" style="3" customWidth="1"/>
    <col min="12039" max="12039" width="14" style="3" customWidth="1"/>
    <col min="12040" max="12040" width="2" style="3" customWidth="1"/>
    <col min="12041" max="12287" width="9" style="3" customWidth="1"/>
    <col min="12288" max="12288" width="6.5" style="3" customWidth="1"/>
    <col min="12289" max="12289" width="19.09765625" style="3" customWidth="1"/>
    <col min="12290" max="12292" width="10.69921875" style="3" customWidth="1"/>
    <col min="12293" max="12293" width="5.8984375" style="3" customWidth="1"/>
    <col min="12294" max="12294" width="8.5" style="3" customWidth="1"/>
    <col min="12295" max="12295" width="14" style="3" customWidth="1"/>
    <col min="12296" max="12296" width="2" style="3" customWidth="1"/>
    <col min="12297" max="12543" width="9" style="3" customWidth="1"/>
    <col min="12544" max="12544" width="6.5" style="3" customWidth="1"/>
    <col min="12545" max="12545" width="19.09765625" style="3" customWidth="1"/>
    <col min="12546" max="12548" width="10.69921875" style="3" customWidth="1"/>
    <col min="12549" max="12549" width="5.8984375" style="3" customWidth="1"/>
    <col min="12550" max="12550" width="8.5" style="3" customWidth="1"/>
    <col min="12551" max="12551" width="14" style="3" customWidth="1"/>
    <col min="12552" max="12552" width="2" style="3" customWidth="1"/>
    <col min="12553" max="12799" width="9" style="3" customWidth="1"/>
    <col min="12800" max="12800" width="6.5" style="3" customWidth="1"/>
    <col min="12801" max="12801" width="19.09765625" style="3" customWidth="1"/>
    <col min="12802" max="12804" width="10.69921875" style="3" customWidth="1"/>
    <col min="12805" max="12805" width="5.8984375" style="3" customWidth="1"/>
    <col min="12806" max="12806" width="8.5" style="3" customWidth="1"/>
    <col min="12807" max="12807" width="14" style="3" customWidth="1"/>
    <col min="12808" max="12808" width="2" style="3" customWidth="1"/>
    <col min="12809" max="13055" width="9" style="3" customWidth="1"/>
    <col min="13056" max="13056" width="6.5" style="3" customWidth="1"/>
    <col min="13057" max="13057" width="19.09765625" style="3" customWidth="1"/>
    <col min="13058" max="13060" width="10.69921875" style="3" customWidth="1"/>
    <col min="13061" max="13061" width="5.8984375" style="3" customWidth="1"/>
    <col min="13062" max="13062" width="8.5" style="3" customWidth="1"/>
    <col min="13063" max="13063" width="14" style="3" customWidth="1"/>
    <col min="13064" max="13064" width="2" style="3" customWidth="1"/>
    <col min="13065" max="13311" width="9" style="3" customWidth="1"/>
    <col min="13312" max="13312" width="6.5" style="3" customWidth="1"/>
    <col min="13313" max="13313" width="19.09765625" style="3" customWidth="1"/>
    <col min="13314" max="13316" width="10.69921875" style="3" customWidth="1"/>
    <col min="13317" max="13317" width="5.8984375" style="3" customWidth="1"/>
    <col min="13318" max="13318" width="8.5" style="3" customWidth="1"/>
    <col min="13319" max="13319" width="14" style="3" customWidth="1"/>
    <col min="13320" max="13320" width="2" style="3" customWidth="1"/>
    <col min="13321" max="13567" width="9" style="3" customWidth="1"/>
    <col min="13568" max="13568" width="6.5" style="3" customWidth="1"/>
    <col min="13569" max="13569" width="19.09765625" style="3" customWidth="1"/>
    <col min="13570" max="13572" width="10.69921875" style="3" customWidth="1"/>
    <col min="13573" max="13573" width="5.8984375" style="3" customWidth="1"/>
    <col min="13574" max="13574" width="8.5" style="3" customWidth="1"/>
    <col min="13575" max="13575" width="14" style="3" customWidth="1"/>
    <col min="13576" max="13576" width="2" style="3" customWidth="1"/>
    <col min="13577" max="13823" width="9" style="3" customWidth="1"/>
    <col min="13824" max="13824" width="6.5" style="3" customWidth="1"/>
    <col min="13825" max="13825" width="19.09765625" style="3" customWidth="1"/>
    <col min="13826" max="13828" width="10.69921875" style="3" customWidth="1"/>
    <col min="13829" max="13829" width="5.8984375" style="3" customWidth="1"/>
    <col min="13830" max="13830" width="8.5" style="3" customWidth="1"/>
    <col min="13831" max="13831" width="14" style="3" customWidth="1"/>
    <col min="13832" max="13832" width="2" style="3" customWidth="1"/>
    <col min="13833" max="14079" width="9" style="3" customWidth="1"/>
    <col min="14080" max="14080" width="6.5" style="3" customWidth="1"/>
    <col min="14081" max="14081" width="19.09765625" style="3" customWidth="1"/>
    <col min="14082" max="14084" width="10.69921875" style="3" customWidth="1"/>
    <col min="14085" max="14085" width="5.8984375" style="3" customWidth="1"/>
    <col min="14086" max="14086" width="8.5" style="3" customWidth="1"/>
    <col min="14087" max="14087" width="14" style="3" customWidth="1"/>
    <col min="14088" max="14088" width="2" style="3" customWidth="1"/>
    <col min="14089" max="14335" width="9" style="3" customWidth="1"/>
    <col min="14336" max="14336" width="6.5" style="3" customWidth="1"/>
    <col min="14337" max="14337" width="19.09765625" style="3" customWidth="1"/>
    <col min="14338" max="14340" width="10.69921875" style="3" customWidth="1"/>
    <col min="14341" max="14341" width="5.8984375" style="3" customWidth="1"/>
    <col min="14342" max="14342" width="8.5" style="3" customWidth="1"/>
    <col min="14343" max="14343" width="14" style="3" customWidth="1"/>
    <col min="14344" max="14344" width="2" style="3" customWidth="1"/>
    <col min="14345" max="14591" width="9" style="3" customWidth="1"/>
    <col min="14592" max="14592" width="6.5" style="3" customWidth="1"/>
    <col min="14593" max="14593" width="19.09765625" style="3" customWidth="1"/>
    <col min="14594" max="14596" width="10.69921875" style="3" customWidth="1"/>
    <col min="14597" max="14597" width="5.8984375" style="3" customWidth="1"/>
    <col min="14598" max="14598" width="8.5" style="3" customWidth="1"/>
    <col min="14599" max="14599" width="14" style="3" customWidth="1"/>
    <col min="14600" max="14600" width="2" style="3" customWidth="1"/>
    <col min="14601" max="14847" width="9" style="3" customWidth="1"/>
    <col min="14848" max="14848" width="6.5" style="3" customWidth="1"/>
    <col min="14849" max="14849" width="19.09765625" style="3" customWidth="1"/>
    <col min="14850" max="14852" width="10.69921875" style="3" customWidth="1"/>
    <col min="14853" max="14853" width="5.8984375" style="3" customWidth="1"/>
    <col min="14854" max="14854" width="8.5" style="3" customWidth="1"/>
    <col min="14855" max="14855" width="14" style="3" customWidth="1"/>
    <col min="14856" max="14856" width="2" style="3" customWidth="1"/>
    <col min="14857" max="15103" width="9" style="3" customWidth="1"/>
    <col min="15104" max="15104" width="6.5" style="3" customWidth="1"/>
    <col min="15105" max="15105" width="19.09765625" style="3" customWidth="1"/>
    <col min="15106" max="15108" width="10.69921875" style="3" customWidth="1"/>
    <col min="15109" max="15109" width="5.8984375" style="3" customWidth="1"/>
    <col min="15110" max="15110" width="8.5" style="3" customWidth="1"/>
    <col min="15111" max="15111" width="14" style="3" customWidth="1"/>
    <col min="15112" max="15112" width="2" style="3" customWidth="1"/>
    <col min="15113" max="15359" width="9" style="3" customWidth="1"/>
    <col min="15360" max="15360" width="6.5" style="3" customWidth="1"/>
    <col min="15361" max="15361" width="19.09765625" style="3" customWidth="1"/>
    <col min="15362" max="15364" width="10.69921875" style="3" customWidth="1"/>
    <col min="15365" max="15365" width="5.8984375" style="3" customWidth="1"/>
    <col min="15366" max="15366" width="8.5" style="3" customWidth="1"/>
    <col min="15367" max="15367" width="14" style="3" customWidth="1"/>
    <col min="15368" max="15368" width="2" style="3" customWidth="1"/>
    <col min="15369" max="15615" width="9" style="3" customWidth="1"/>
    <col min="15616" max="15616" width="6.5" style="3" customWidth="1"/>
    <col min="15617" max="15617" width="19.09765625" style="3" customWidth="1"/>
    <col min="15618" max="15620" width="10.69921875" style="3" customWidth="1"/>
    <col min="15621" max="15621" width="5.8984375" style="3" customWidth="1"/>
    <col min="15622" max="15622" width="8.5" style="3" customWidth="1"/>
    <col min="15623" max="15623" width="14" style="3" customWidth="1"/>
    <col min="15624" max="15624" width="2" style="3" customWidth="1"/>
    <col min="15625" max="15871" width="9" style="3" customWidth="1"/>
    <col min="15872" max="15872" width="6.5" style="3" customWidth="1"/>
    <col min="15873" max="15873" width="19.09765625" style="3" customWidth="1"/>
    <col min="15874" max="15876" width="10.69921875" style="3" customWidth="1"/>
    <col min="15877" max="15877" width="5.8984375" style="3" customWidth="1"/>
    <col min="15878" max="15878" width="8.5" style="3" customWidth="1"/>
    <col min="15879" max="15879" width="14" style="3" customWidth="1"/>
    <col min="15880" max="15880" width="2" style="3" customWidth="1"/>
    <col min="15881" max="16127" width="9" style="3" customWidth="1"/>
    <col min="16128" max="16128" width="6.5" style="3" customWidth="1"/>
    <col min="16129" max="16129" width="19.09765625" style="3" customWidth="1"/>
    <col min="16130" max="16132" width="10.69921875" style="3" customWidth="1"/>
    <col min="16133" max="16133" width="5.8984375" style="3" customWidth="1"/>
    <col min="16134" max="16134" width="8.5" style="3" customWidth="1"/>
    <col min="16135" max="16135" width="14" style="3" customWidth="1"/>
    <col min="16136" max="16136" width="2" style="3" customWidth="1"/>
    <col min="16137" max="16384" width="9" style="3" customWidth="1"/>
  </cols>
  <sheetData>
    <row r="1" ht="33" customHeight="1" spans="1:25" x14ac:dyDescent="0.25">
      <c r="A1" s="4" t="s">
        <v>25</v>
      </c>
      <c r="B1" s="4"/>
      <c r="C1" s="4"/>
      <c r="D1" s="4"/>
      <c r="E1" s="4"/>
      <c r="F1" s="4"/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x14ac:dyDescent="0.25">
      <c r="A2" s="122" t="s">
        <v>26</v>
      </c>
      <c r="B2" s="122"/>
      <c r="C2" s="122"/>
      <c r="D2" s="122"/>
      <c r="E2" s="122"/>
      <c r="F2" s="122"/>
      <c r="G2" s="122"/>
      <c r="H2" s="12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4.75" customHeight="1" spans="1:25" x14ac:dyDescent="0.25">
      <c r="A3" s="3"/>
      <c r="B3" s="3"/>
      <c r="C3" s="123" t="s">
        <v>27</v>
      </c>
      <c r="D3" s="6"/>
      <c r="E3" s="6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3" customHeight="1" spans="1:2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4.5" customHeight="1" spans="1:25" x14ac:dyDescent="0.25">
      <c r="A5" s="124"/>
      <c r="B5" s="124"/>
      <c r="C5" s="124"/>
      <c r="D5" s="124"/>
      <c r="E5" s="124"/>
      <c r="F5" s="124"/>
      <c r="G5" s="124"/>
      <c r="H5" s="124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21.9" customHeight="1" spans="1:25" s="9" customFormat="1" x14ac:dyDescent="0.25">
      <c r="A6" s="125" t="s">
        <v>28</v>
      </c>
      <c r="B6" s="560"/>
      <c r="C6" s="127" t="s">
        <v>29</v>
      </c>
      <c r="D6" s="561"/>
      <c r="E6" s="128"/>
      <c r="F6" s="9"/>
      <c r="G6" s="129" t="s">
        <v>5</v>
      </c>
      <c r="H6" s="562">
        <v>46228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ht="9.9" customHeight="1" spans="1:25" s="9" customFormat="1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ht="21.9" customHeight="1" spans="1:25" s="9" customFormat="1" x14ac:dyDescent="0.25">
      <c r="A8" s="125" t="s">
        <v>30</v>
      </c>
      <c r="B8" s="561"/>
      <c r="C8" s="127" t="s">
        <v>31</v>
      </c>
      <c r="D8" s="561"/>
      <c r="E8" s="128"/>
      <c r="F8" s="127"/>
      <c r="G8" s="131" t="s">
        <v>32</v>
      </c>
      <c r="H8" s="563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ht="9.9" customHeight="1" spans="1:25" s="9" customFormat="1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ht="15" customHeight="1" spans="1:25" s="9" customFormat="1" x14ac:dyDescent="0.25">
      <c r="A10" s="9"/>
      <c r="B10" s="9"/>
      <c r="C10" s="9"/>
      <c r="D10" s="9"/>
      <c r="E10" s="9"/>
      <c r="F10" s="9"/>
      <c r="G10" s="9"/>
      <c r="H10" s="127" t="s">
        <v>33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ht="3.75" customHeight="1" spans="1:25" s="9" customFormat="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ht="24.75" customHeight="1" spans="1:25" s="9" customFormat="1" x14ac:dyDescent="0.25">
      <c r="A12" s="132" t="s">
        <v>34</v>
      </c>
      <c r="B12" s="133"/>
      <c r="C12" s="134" t="s">
        <v>35</v>
      </c>
      <c r="D12" s="134"/>
      <c r="E12" s="134"/>
      <c r="F12" s="134"/>
      <c r="G12" s="134"/>
      <c r="H12" s="133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ht="18" customHeight="1" spans="1:25" s="9" customFormat="1" x14ac:dyDescent="0.25">
      <c r="A13" s="135" t="s">
        <v>36</v>
      </c>
      <c r="B13" s="136"/>
      <c r="C13" s="564"/>
      <c r="D13" s="137"/>
      <c r="E13" s="137"/>
      <c r="F13" s="137"/>
      <c r="G13" s="137"/>
      <c r="H13" s="137"/>
      <c r="I13" s="138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ht="18" customHeight="1" spans="1:25" x14ac:dyDescent="0.25">
      <c r="A14" s="139"/>
      <c r="B14" s="140"/>
      <c r="C14" s="565"/>
      <c r="D14" s="141"/>
      <c r="E14" s="141"/>
      <c r="F14" s="141"/>
      <c r="G14" s="141"/>
      <c r="H14" s="141"/>
      <c r="I14" s="138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8" customHeight="1" spans="1:25" x14ac:dyDescent="0.25">
      <c r="A15" s="139"/>
      <c r="B15" s="142"/>
      <c r="C15" s="566"/>
      <c r="D15" s="144"/>
      <c r="E15" s="144"/>
      <c r="F15" s="144"/>
      <c r="G15" s="144"/>
      <c r="H15" s="145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8" customHeight="1" spans="1:25" x14ac:dyDescent="0.25">
      <c r="A16" s="139"/>
      <c r="B16" s="146"/>
      <c r="C16" s="567"/>
      <c r="D16" s="147"/>
      <c r="E16" s="147"/>
      <c r="F16" s="147"/>
      <c r="G16" s="147"/>
      <c r="H16" s="147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8" customHeight="1" spans="1:25" x14ac:dyDescent="0.25">
      <c r="A17" s="148"/>
      <c r="B17" s="149"/>
      <c r="C17" s="568"/>
      <c r="D17" s="150"/>
      <c r="E17" s="150"/>
      <c r="F17" s="150"/>
      <c r="G17" s="150"/>
      <c r="H17" s="150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8" customHeight="1" spans="1:25" x14ac:dyDescent="0.25">
      <c r="A18" s="151" t="s">
        <v>37</v>
      </c>
      <c r="B18" s="152"/>
      <c r="C18" s="567"/>
      <c r="D18" s="147"/>
      <c r="E18" s="147"/>
      <c r="F18" s="147"/>
      <c r="G18" s="147"/>
      <c r="H18" s="147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8" customHeight="1" spans="1:25" x14ac:dyDescent="0.25">
      <c r="A19" s="153"/>
      <c r="B19" s="142"/>
      <c r="C19" s="566"/>
      <c r="D19" s="144"/>
      <c r="E19" s="144"/>
      <c r="F19" s="144"/>
      <c r="G19" s="144"/>
      <c r="H19" s="145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8" customHeight="1" spans="1:25" x14ac:dyDescent="0.25">
      <c r="A20" s="139"/>
      <c r="B20" s="152"/>
      <c r="C20" s="565"/>
      <c r="D20" s="141"/>
      <c r="E20" s="141"/>
      <c r="F20" s="141"/>
      <c r="G20" s="141"/>
      <c r="H20" s="141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8" customHeight="1" spans="1:25" x14ac:dyDescent="0.25">
      <c r="A21" s="154"/>
      <c r="B21" s="152"/>
      <c r="C21" s="567"/>
      <c r="D21" s="147"/>
      <c r="E21" s="147"/>
      <c r="F21" s="147"/>
      <c r="G21" s="147"/>
      <c r="H21" s="147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8" customHeight="1" spans="1:25" x14ac:dyDescent="0.25">
      <c r="A22" s="155"/>
      <c r="B22" s="149"/>
      <c r="C22" s="568"/>
      <c r="D22" s="150"/>
      <c r="E22" s="150"/>
      <c r="F22" s="150"/>
      <c r="G22" s="150"/>
      <c r="H22" s="150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8" customHeight="1" spans="1:25" x14ac:dyDescent="0.25">
      <c r="A23" s="156"/>
      <c r="B23" s="152"/>
      <c r="C23" s="566"/>
      <c r="D23" s="144"/>
      <c r="E23" s="144"/>
      <c r="F23" s="144"/>
      <c r="G23" s="144"/>
      <c r="H23" s="145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8" customHeight="1" spans="1:25" x14ac:dyDescent="0.25">
      <c r="A24" s="157"/>
      <c r="B24" s="152"/>
      <c r="C24" s="567"/>
      <c r="D24" s="147"/>
      <c r="E24" s="147"/>
      <c r="F24" s="147"/>
      <c r="G24" s="147"/>
      <c r="H24" s="147"/>
      <c r="I24" s="3"/>
      <c r="J24" s="3"/>
      <c r="K24" s="3"/>
      <c r="L24" s="3"/>
      <c r="M24" s="158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8" customHeight="1" spans="1:25" x14ac:dyDescent="0.25">
      <c r="A25" s="159"/>
      <c r="B25" s="152"/>
      <c r="C25" s="565"/>
      <c r="D25" s="141"/>
      <c r="E25" s="141"/>
      <c r="F25" s="141"/>
      <c r="G25" s="141"/>
      <c r="H25" s="141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8" customHeight="1" spans="1:25" x14ac:dyDescent="0.25">
      <c r="A26" s="139"/>
      <c r="B26" s="152"/>
      <c r="C26" s="565"/>
      <c r="D26" s="141"/>
      <c r="E26" s="141"/>
      <c r="F26" s="141"/>
      <c r="G26" s="141"/>
      <c r="H26" s="141"/>
      <c r="I26" s="3"/>
      <c r="J26" s="3"/>
      <c r="K26" s="3"/>
      <c r="L26" s="3"/>
      <c r="M26" s="158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8" customHeight="1" spans="1:25" x14ac:dyDescent="0.25">
      <c r="A27" s="148"/>
      <c r="B27" s="149"/>
      <c r="C27" s="569"/>
      <c r="D27" s="160"/>
      <c r="E27" s="160"/>
      <c r="F27" s="160"/>
      <c r="G27" s="160"/>
      <c r="H27" s="160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8" customHeight="1" spans="1:25" x14ac:dyDescent="0.25">
      <c r="A28" s="24"/>
      <c r="B28" s="152"/>
      <c r="C28" s="567"/>
      <c r="D28" s="147"/>
      <c r="E28" s="147"/>
      <c r="F28" s="147"/>
      <c r="G28" s="147"/>
      <c r="H28" s="147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8" customHeight="1" spans="1:25" x14ac:dyDescent="0.25">
      <c r="A29" s="139"/>
      <c r="B29" s="152"/>
      <c r="C29" s="566"/>
      <c r="D29" s="144"/>
      <c r="E29" s="144"/>
      <c r="F29" s="144"/>
      <c r="G29" s="144"/>
      <c r="H29" s="145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8" customHeight="1" spans="1:25" x14ac:dyDescent="0.25">
      <c r="A30" s="139"/>
      <c r="B30" s="152"/>
      <c r="C30" s="567"/>
      <c r="D30" s="147"/>
      <c r="E30" s="147"/>
      <c r="F30" s="147"/>
      <c r="G30" s="147"/>
      <c r="H30" s="147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8" customHeight="1" spans="1:25" x14ac:dyDescent="0.25">
      <c r="A31" s="139"/>
      <c r="B31" s="142"/>
      <c r="C31" s="566"/>
      <c r="D31" s="144"/>
      <c r="E31" s="144"/>
      <c r="F31" s="144"/>
      <c r="G31" s="144"/>
      <c r="H31" s="145"/>
      <c r="I31" s="138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8" customHeight="1" spans="1:25" x14ac:dyDescent="0.25">
      <c r="A32" s="159"/>
      <c r="B32" s="149"/>
      <c r="C32" s="568"/>
      <c r="D32" s="150"/>
      <c r="E32" s="150"/>
      <c r="F32" s="150"/>
      <c r="G32" s="150"/>
      <c r="H32" s="150"/>
      <c r="I32" s="138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8" customHeight="1" spans="1:25" x14ac:dyDescent="0.25">
      <c r="A33" s="24"/>
      <c r="B33" s="152"/>
      <c r="C33" s="567"/>
      <c r="D33" s="147"/>
      <c r="E33" s="147"/>
      <c r="F33" s="147"/>
      <c r="G33" s="147"/>
      <c r="H33" s="147"/>
      <c r="I33" s="138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8" customHeight="1" spans="1:25" x14ac:dyDescent="0.25">
      <c r="A34" s="139"/>
      <c r="B34" s="152"/>
      <c r="C34" s="565"/>
      <c r="D34" s="141"/>
      <c r="E34" s="141"/>
      <c r="F34" s="141"/>
      <c r="G34" s="141"/>
      <c r="H34" s="141"/>
      <c r="I34" s="138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8" customHeight="1" spans="1:25" x14ac:dyDescent="0.25">
      <c r="A35" s="161"/>
      <c r="B35" s="146"/>
      <c r="C35" s="570"/>
      <c r="D35" s="144"/>
      <c r="E35" s="144"/>
      <c r="F35" s="144"/>
      <c r="G35" s="144"/>
      <c r="H35" s="145"/>
      <c r="I35" s="138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20.1" customHeight="1" spans="1:25" x14ac:dyDescent="0.25">
      <c r="A36" s="163"/>
      <c r="B36" s="152"/>
      <c r="C36" s="571"/>
      <c r="D36" s="165"/>
      <c r="E36" s="165"/>
      <c r="F36" s="165"/>
      <c r="G36" s="165"/>
      <c r="H36" s="166"/>
      <c r="I36" s="138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8" customHeight="1" spans="1:25" x14ac:dyDescent="0.25">
      <c r="A37" s="167"/>
      <c r="B37" s="149"/>
      <c r="C37" s="569"/>
      <c r="D37" s="160"/>
      <c r="E37" s="160"/>
      <c r="F37" s="160"/>
      <c r="G37" s="160"/>
      <c r="H37" s="160"/>
      <c r="I37" s="138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8" customHeight="1" spans="1:25" x14ac:dyDescent="0.25">
      <c r="A38" s="158"/>
      <c r="B38" s="168"/>
      <c r="C38" s="169"/>
      <c r="D38" s="169"/>
      <c r="E38" s="169"/>
      <c r="F38" s="169"/>
      <c r="G38" s="169"/>
      <c r="H38" s="169"/>
      <c r="I38" s="138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3"/>
      <c r="B39" s="168"/>
      <c r="C39" s="35"/>
      <c r="D39" s="35"/>
      <c r="E39" s="35"/>
      <c r="F39" s="35"/>
      <c r="G39" s="35"/>
      <c r="H39" s="35"/>
      <c r="I39" s="138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8" customHeight="1" spans="1:25" x14ac:dyDescent="0.25">
      <c r="A40" s="3"/>
      <c r="B40" s="168"/>
      <c r="C40" s="35"/>
      <c r="D40" s="35"/>
      <c r="E40" s="35"/>
      <c r="F40" s="35"/>
      <c r="G40" s="35"/>
      <c r="H40" s="35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8" customHeight="1" spans="1:25" x14ac:dyDescent="0.25">
      <c r="A41" s="170"/>
      <c r="B41" s="170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x14ac:dyDescent="0.25">
      <c r="A42" s="171" t="s">
        <v>23</v>
      </c>
      <c r="B42" s="172"/>
      <c r="C42" s="9"/>
      <c r="D42" s="9"/>
      <c r="E42" s="9"/>
      <c r="F42" s="3"/>
      <c r="G42" s="158"/>
      <c r="H42" s="128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</sheetData>
  <mergeCells count="37">
    <mergeCell ref="A1:H1"/>
    <mergeCell ref="A2:H2"/>
    <mergeCell ref="C3:F3"/>
    <mergeCell ref="D6:E6"/>
    <mergeCell ref="D8:E8"/>
    <mergeCell ref="A12:B12"/>
    <mergeCell ref="C12:H12"/>
    <mergeCell ref="C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C36:H36"/>
    <mergeCell ref="C37:H37"/>
    <mergeCell ref="A42:B42"/>
    <mergeCell ref="G42:H42"/>
    <mergeCell ref="C38:H38"/>
    <mergeCell ref="C39:H39"/>
    <mergeCell ref="C40:H40"/>
  </mergeCells>
  <printOptions horizontalCentered="1" verticalCentered="1"/>
  <pageMargins left="0.4724409448818898" right="0.4724409448818898" top="0.5905511811023623" bottom="0.5118110236220472" header="0.5118110236220472" footer="0.35433070866141736"/>
  <pageSetup paperSize="9"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Y79"/>
  <sheetViews>
    <sheetView workbookViewId="0" zoomScale="90" zoomScaleNormal="90">
      <selection activeCell="B8" sqref="B8"/>
    </sheetView>
  </sheetViews>
  <sheetFormatPr defaultRowHeight="19.2" outlineLevelRow="0" outlineLevelCol="0" x14ac:dyDescent="0" customHeight="1"/>
  <cols>
    <col min="1" max="2" width="7.59765625" style="3" customWidth="1"/>
    <col min="3" max="3" width="12.09765625" style="3" customWidth="1"/>
    <col min="4" max="4" width="7" style="3" customWidth="1"/>
    <col min="5" max="5" width="14.59765625" style="3" customWidth="1"/>
    <col min="6" max="6" width="13" style="3" customWidth="1"/>
    <col min="7" max="7" width="12.09765625" style="3" customWidth="1"/>
    <col min="8" max="8" width="13.59765625" style="3" customWidth="1"/>
    <col min="9" max="220" width="9" style="3" customWidth="1"/>
    <col min="221" max="221" width="9.09765625" style="3" customWidth="1"/>
    <col min="222" max="222" width="7.59765625" style="3" customWidth="1"/>
    <col min="223" max="223" width="12.09765625" style="3" customWidth="1"/>
    <col min="224" max="224" width="7" style="3" customWidth="1"/>
    <col min="225" max="225" width="16" style="3" customWidth="1"/>
    <col min="226" max="226" width="13" style="3" customWidth="1"/>
    <col min="227" max="227" width="12.09765625" style="3" customWidth="1"/>
    <col min="228" max="228" width="13.59765625" style="3" customWidth="1"/>
    <col min="229" max="476" width="9" style="3" customWidth="1"/>
    <col min="477" max="477" width="9.09765625" style="3" customWidth="1"/>
    <col min="478" max="478" width="7.59765625" style="3" customWidth="1"/>
    <col min="479" max="479" width="12.09765625" style="3" customWidth="1"/>
    <col min="480" max="480" width="7" style="3" customWidth="1"/>
    <col min="481" max="481" width="16" style="3" customWidth="1"/>
    <col min="482" max="482" width="13" style="3" customWidth="1"/>
    <col min="483" max="483" width="12.09765625" style="3" customWidth="1"/>
    <col min="484" max="484" width="13.59765625" style="3" customWidth="1"/>
    <col min="485" max="732" width="9" style="3" customWidth="1"/>
    <col min="733" max="733" width="9.09765625" style="3" customWidth="1"/>
    <col min="734" max="734" width="7.59765625" style="3" customWidth="1"/>
    <col min="735" max="735" width="12.09765625" style="3" customWidth="1"/>
    <col min="736" max="736" width="7" style="3" customWidth="1"/>
    <col min="737" max="737" width="16" style="3" customWidth="1"/>
    <col min="738" max="738" width="13" style="3" customWidth="1"/>
    <col min="739" max="739" width="12.09765625" style="3" customWidth="1"/>
    <col min="740" max="740" width="13.59765625" style="3" customWidth="1"/>
    <col min="741" max="988" width="9" style="3" customWidth="1"/>
    <col min="989" max="989" width="9.09765625" style="3" customWidth="1"/>
    <col min="990" max="990" width="7.59765625" style="3" customWidth="1"/>
    <col min="991" max="991" width="12.09765625" style="3" customWidth="1"/>
    <col min="992" max="992" width="7" style="3" customWidth="1"/>
    <col min="993" max="993" width="16" style="3" customWidth="1"/>
    <col min="994" max="994" width="13" style="3" customWidth="1"/>
    <col min="995" max="995" width="12.09765625" style="3" customWidth="1"/>
    <col min="996" max="996" width="13.59765625" style="3" customWidth="1"/>
    <col min="997" max="1244" width="9" style="3" customWidth="1"/>
    <col min="1245" max="1245" width="9.09765625" style="3" customWidth="1"/>
    <col min="1246" max="1246" width="7.59765625" style="3" customWidth="1"/>
    <col min="1247" max="1247" width="12.09765625" style="3" customWidth="1"/>
    <col min="1248" max="1248" width="7" style="3" customWidth="1"/>
    <col min="1249" max="1249" width="16" style="3" customWidth="1"/>
    <col min="1250" max="1250" width="13" style="3" customWidth="1"/>
    <col min="1251" max="1251" width="12.09765625" style="3" customWidth="1"/>
    <col min="1252" max="1252" width="13.59765625" style="3" customWidth="1"/>
    <col min="1253" max="1500" width="9" style="3" customWidth="1"/>
    <col min="1501" max="1501" width="9.09765625" style="3" customWidth="1"/>
    <col min="1502" max="1502" width="7.59765625" style="3" customWidth="1"/>
    <col min="1503" max="1503" width="12.09765625" style="3" customWidth="1"/>
    <col min="1504" max="1504" width="7" style="3" customWidth="1"/>
    <col min="1505" max="1505" width="16" style="3" customWidth="1"/>
    <col min="1506" max="1506" width="13" style="3" customWidth="1"/>
    <col min="1507" max="1507" width="12.09765625" style="3" customWidth="1"/>
    <col min="1508" max="1508" width="13.59765625" style="3" customWidth="1"/>
    <col min="1509" max="1756" width="9" style="3" customWidth="1"/>
    <col min="1757" max="1757" width="9.09765625" style="3" customWidth="1"/>
    <col min="1758" max="1758" width="7.59765625" style="3" customWidth="1"/>
    <col min="1759" max="1759" width="12.09765625" style="3" customWidth="1"/>
    <col min="1760" max="1760" width="7" style="3" customWidth="1"/>
    <col min="1761" max="1761" width="16" style="3" customWidth="1"/>
    <col min="1762" max="1762" width="13" style="3" customWidth="1"/>
    <col min="1763" max="1763" width="12.09765625" style="3" customWidth="1"/>
    <col min="1764" max="1764" width="13.59765625" style="3" customWidth="1"/>
    <col min="1765" max="2012" width="9" style="3" customWidth="1"/>
    <col min="2013" max="2013" width="9.09765625" style="3" customWidth="1"/>
    <col min="2014" max="2014" width="7.59765625" style="3" customWidth="1"/>
    <col min="2015" max="2015" width="12.09765625" style="3" customWidth="1"/>
    <col min="2016" max="2016" width="7" style="3" customWidth="1"/>
    <col min="2017" max="2017" width="16" style="3" customWidth="1"/>
    <col min="2018" max="2018" width="13" style="3" customWidth="1"/>
    <col min="2019" max="2019" width="12.09765625" style="3" customWidth="1"/>
    <col min="2020" max="2020" width="13.59765625" style="3" customWidth="1"/>
    <col min="2021" max="2268" width="9" style="3" customWidth="1"/>
    <col min="2269" max="2269" width="9.09765625" style="3" customWidth="1"/>
    <col min="2270" max="2270" width="7.59765625" style="3" customWidth="1"/>
    <col min="2271" max="2271" width="12.09765625" style="3" customWidth="1"/>
    <col min="2272" max="2272" width="7" style="3" customWidth="1"/>
    <col min="2273" max="2273" width="16" style="3" customWidth="1"/>
    <col min="2274" max="2274" width="13" style="3" customWidth="1"/>
    <col min="2275" max="2275" width="12.09765625" style="3" customWidth="1"/>
    <col min="2276" max="2276" width="13.59765625" style="3" customWidth="1"/>
    <col min="2277" max="2524" width="9" style="3" customWidth="1"/>
    <col min="2525" max="2525" width="9.09765625" style="3" customWidth="1"/>
    <col min="2526" max="2526" width="7.59765625" style="3" customWidth="1"/>
    <col min="2527" max="2527" width="12.09765625" style="3" customWidth="1"/>
    <col min="2528" max="2528" width="7" style="3" customWidth="1"/>
    <col min="2529" max="2529" width="16" style="3" customWidth="1"/>
    <col min="2530" max="2530" width="13" style="3" customWidth="1"/>
    <col min="2531" max="2531" width="12.09765625" style="3" customWidth="1"/>
    <col min="2532" max="2532" width="13.59765625" style="3" customWidth="1"/>
    <col min="2533" max="2780" width="9" style="3" customWidth="1"/>
    <col min="2781" max="2781" width="9.09765625" style="3" customWidth="1"/>
    <col min="2782" max="2782" width="7.59765625" style="3" customWidth="1"/>
    <col min="2783" max="2783" width="12.09765625" style="3" customWidth="1"/>
    <col min="2784" max="2784" width="7" style="3" customWidth="1"/>
    <col min="2785" max="2785" width="16" style="3" customWidth="1"/>
    <col min="2786" max="2786" width="13" style="3" customWidth="1"/>
    <col min="2787" max="2787" width="12.09765625" style="3" customWidth="1"/>
    <col min="2788" max="2788" width="13.59765625" style="3" customWidth="1"/>
    <col min="2789" max="3036" width="9" style="3" customWidth="1"/>
    <col min="3037" max="3037" width="9.09765625" style="3" customWidth="1"/>
    <col min="3038" max="3038" width="7.59765625" style="3" customWidth="1"/>
    <col min="3039" max="3039" width="12.09765625" style="3" customWidth="1"/>
    <col min="3040" max="3040" width="7" style="3" customWidth="1"/>
    <col min="3041" max="3041" width="16" style="3" customWidth="1"/>
    <col min="3042" max="3042" width="13" style="3" customWidth="1"/>
    <col min="3043" max="3043" width="12.09765625" style="3" customWidth="1"/>
    <col min="3044" max="3044" width="13.59765625" style="3" customWidth="1"/>
    <col min="3045" max="3292" width="9" style="3" customWidth="1"/>
    <col min="3293" max="3293" width="9.09765625" style="3" customWidth="1"/>
    <col min="3294" max="3294" width="7.59765625" style="3" customWidth="1"/>
    <col min="3295" max="3295" width="12.09765625" style="3" customWidth="1"/>
    <col min="3296" max="3296" width="7" style="3" customWidth="1"/>
    <col min="3297" max="3297" width="16" style="3" customWidth="1"/>
    <col min="3298" max="3298" width="13" style="3" customWidth="1"/>
    <col min="3299" max="3299" width="12.09765625" style="3" customWidth="1"/>
    <col min="3300" max="3300" width="13.59765625" style="3" customWidth="1"/>
    <col min="3301" max="3548" width="9" style="3" customWidth="1"/>
    <col min="3549" max="3549" width="9.09765625" style="3" customWidth="1"/>
    <col min="3550" max="3550" width="7.59765625" style="3" customWidth="1"/>
    <col min="3551" max="3551" width="12.09765625" style="3" customWidth="1"/>
    <col min="3552" max="3552" width="7" style="3" customWidth="1"/>
    <col min="3553" max="3553" width="16" style="3" customWidth="1"/>
    <col min="3554" max="3554" width="13" style="3" customWidth="1"/>
    <col min="3555" max="3555" width="12.09765625" style="3" customWidth="1"/>
    <col min="3556" max="3556" width="13.59765625" style="3" customWidth="1"/>
    <col min="3557" max="3804" width="9" style="3" customWidth="1"/>
    <col min="3805" max="3805" width="9.09765625" style="3" customWidth="1"/>
    <col min="3806" max="3806" width="7.59765625" style="3" customWidth="1"/>
    <col min="3807" max="3807" width="12.09765625" style="3" customWidth="1"/>
    <col min="3808" max="3808" width="7" style="3" customWidth="1"/>
    <col min="3809" max="3809" width="16" style="3" customWidth="1"/>
    <col min="3810" max="3810" width="13" style="3" customWidth="1"/>
    <col min="3811" max="3811" width="12.09765625" style="3" customWidth="1"/>
    <col min="3812" max="3812" width="13.59765625" style="3" customWidth="1"/>
    <col min="3813" max="4060" width="9" style="3" customWidth="1"/>
    <col min="4061" max="4061" width="9.09765625" style="3" customWidth="1"/>
    <col min="4062" max="4062" width="7.59765625" style="3" customWidth="1"/>
    <col min="4063" max="4063" width="12.09765625" style="3" customWidth="1"/>
    <col min="4064" max="4064" width="7" style="3" customWidth="1"/>
    <col min="4065" max="4065" width="16" style="3" customWidth="1"/>
    <col min="4066" max="4066" width="13" style="3" customWidth="1"/>
    <col min="4067" max="4067" width="12.09765625" style="3" customWidth="1"/>
    <col min="4068" max="4068" width="13.59765625" style="3" customWidth="1"/>
    <col min="4069" max="4316" width="9" style="3" customWidth="1"/>
    <col min="4317" max="4317" width="9.09765625" style="3" customWidth="1"/>
    <col min="4318" max="4318" width="7.59765625" style="3" customWidth="1"/>
    <col min="4319" max="4319" width="12.09765625" style="3" customWidth="1"/>
    <col min="4320" max="4320" width="7" style="3" customWidth="1"/>
    <col min="4321" max="4321" width="16" style="3" customWidth="1"/>
    <col min="4322" max="4322" width="13" style="3" customWidth="1"/>
    <col min="4323" max="4323" width="12.09765625" style="3" customWidth="1"/>
    <col min="4324" max="4324" width="13.59765625" style="3" customWidth="1"/>
    <col min="4325" max="4572" width="9" style="3" customWidth="1"/>
    <col min="4573" max="4573" width="9.09765625" style="3" customWidth="1"/>
    <col min="4574" max="4574" width="7.59765625" style="3" customWidth="1"/>
    <col min="4575" max="4575" width="12.09765625" style="3" customWidth="1"/>
    <col min="4576" max="4576" width="7" style="3" customWidth="1"/>
    <col min="4577" max="4577" width="16" style="3" customWidth="1"/>
    <col min="4578" max="4578" width="13" style="3" customWidth="1"/>
    <col min="4579" max="4579" width="12.09765625" style="3" customWidth="1"/>
    <col min="4580" max="4580" width="13.59765625" style="3" customWidth="1"/>
    <col min="4581" max="4828" width="9" style="3" customWidth="1"/>
    <col min="4829" max="4829" width="9.09765625" style="3" customWidth="1"/>
    <col min="4830" max="4830" width="7.59765625" style="3" customWidth="1"/>
    <col min="4831" max="4831" width="12.09765625" style="3" customWidth="1"/>
    <col min="4832" max="4832" width="7" style="3" customWidth="1"/>
    <col min="4833" max="4833" width="16" style="3" customWidth="1"/>
    <col min="4834" max="4834" width="13" style="3" customWidth="1"/>
    <col min="4835" max="4835" width="12.09765625" style="3" customWidth="1"/>
    <col min="4836" max="4836" width="13.59765625" style="3" customWidth="1"/>
    <col min="4837" max="5084" width="9" style="3" customWidth="1"/>
    <col min="5085" max="5085" width="9.09765625" style="3" customWidth="1"/>
    <col min="5086" max="5086" width="7.59765625" style="3" customWidth="1"/>
    <col min="5087" max="5087" width="12.09765625" style="3" customWidth="1"/>
    <col min="5088" max="5088" width="7" style="3" customWidth="1"/>
    <col min="5089" max="5089" width="16" style="3" customWidth="1"/>
    <col min="5090" max="5090" width="13" style="3" customWidth="1"/>
    <col min="5091" max="5091" width="12.09765625" style="3" customWidth="1"/>
    <col min="5092" max="5092" width="13.59765625" style="3" customWidth="1"/>
    <col min="5093" max="5340" width="9" style="3" customWidth="1"/>
    <col min="5341" max="5341" width="9.09765625" style="3" customWidth="1"/>
    <col min="5342" max="5342" width="7.59765625" style="3" customWidth="1"/>
    <col min="5343" max="5343" width="12.09765625" style="3" customWidth="1"/>
    <col min="5344" max="5344" width="7" style="3" customWidth="1"/>
    <col min="5345" max="5345" width="16" style="3" customWidth="1"/>
    <col min="5346" max="5346" width="13" style="3" customWidth="1"/>
    <col min="5347" max="5347" width="12.09765625" style="3" customWidth="1"/>
    <col min="5348" max="5348" width="13.59765625" style="3" customWidth="1"/>
    <col min="5349" max="5596" width="9" style="3" customWidth="1"/>
    <col min="5597" max="5597" width="9.09765625" style="3" customWidth="1"/>
    <col min="5598" max="5598" width="7.59765625" style="3" customWidth="1"/>
    <col min="5599" max="5599" width="12.09765625" style="3" customWidth="1"/>
    <col min="5600" max="5600" width="7" style="3" customWidth="1"/>
    <col min="5601" max="5601" width="16" style="3" customWidth="1"/>
    <col min="5602" max="5602" width="13" style="3" customWidth="1"/>
    <col min="5603" max="5603" width="12.09765625" style="3" customWidth="1"/>
    <col min="5604" max="5604" width="13.59765625" style="3" customWidth="1"/>
    <col min="5605" max="5852" width="9" style="3" customWidth="1"/>
    <col min="5853" max="5853" width="9.09765625" style="3" customWidth="1"/>
    <col min="5854" max="5854" width="7.59765625" style="3" customWidth="1"/>
    <col min="5855" max="5855" width="12.09765625" style="3" customWidth="1"/>
    <col min="5856" max="5856" width="7" style="3" customWidth="1"/>
    <col min="5857" max="5857" width="16" style="3" customWidth="1"/>
    <col min="5858" max="5858" width="13" style="3" customWidth="1"/>
    <col min="5859" max="5859" width="12.09765625" style="3" customWidth="1"/>
    <col min="5860" max="5860" width="13.59765625" style="3" customWidth="1"/>
    <col min="5861" max="6108" width="9" style="3" customWidth="1"/>
    <col min="6109" max="6109" width="9.09765625" style="3" customWidth="1"/>
    <col min="6110" max="6110" width="7.59765625" style="3" customWidth="1"/>
    <col min="6111" max="6111" width="12.09765625" style="3" customWidth="1"/>
    <col min="6112" max="6112" width="7" style="3" customWidth="1"/>
    <col min="6113" max="6113" width="16" style="3" customWidth="1"/>
    <col min="6114" max="6114" width="13" style="3" customWidth="1"/>
    <col min="6115" max="6115" width="12.09765625" style="3" customWidth="1"/>
    <col min="6116" max="6116" width="13.59765625" style="3" customWidth="1"/>
    <col min="6117" max="6364" width="9" style="3" customWidth="1"/>
    <col min="6365" max="6365" width="9.09765625" style="3" customWidth="1"/>
    <col min="6366" max="6366" width="7.59765625" style="3" customWidth="1"/>
    <col min="6367" max="6367" width="12.09765625" style="3" customWidth="1"/>
    <col min="6368" max="6368" width="7" style="3" customWidth="1"/>
    <col min="6369" max="6369" width="16" style="3" customWidth="1"/>
    <col min="6370" max="6370" width="13" style="3" customWidth="1"/>
    <col min="6371" max="6371" width="12.09765625" style="3" customWidth="1"/>
    <col min="6372" max="6372" width="13.59765625" style="3" customWidth="1"/>
    <col min="6373" max="6620" width="9" style="3" customWidth="1"/>
    <col min="6621" max="6621" width="9.09765625" style="3" customWidth="1"/>
    <col min="6622" max="6622" width="7.59765625" style="3" customWidth="1"/>
    <col min="6623" max="6623" width="12.09765625" style="3" customWidth="1"/>
    <col min="6624" max="6624" width="7" style="3" customWidth="1"/>
    <col min="6625" max="6625" width="16" style="3" customWidth="1"/>
    <col min="6626" max="6626" width="13" style="3" customWidth="1"/>
    <col min="6627" max="6627" width="12.09765625" style="3" customWidth="1"/>
    <col min="6628" max="6628" width="13.59765625" style="3" customWidth="1"/>
    <col min="6629" max="6876" width="9" style="3" customWidth="1"/>
    <col min="6877" max="6877" width="9.09765625" style="3" customWidth="1"/>
    <col min="6878" max="6878" width="7.59765625" style="3" customWidth="1"/>
    <col min="6879" max="6879" width="12.09765625" style="3" customWidth="1"/>
    <col min="6880" max="6880" width="7" style="3" customWidth="1"/>
    <col min="6881" max="6881" width="16" style="3" customWidth="1"/>
    <col min="6882" max="6882" width="13" style="3" customWidth="1"/>
    <col min="6883" max="6883" width="12.09765625" style="3" customWidth="1"/>
    <col min="6884" max="6884" width="13.59765625" style="3" customWidth="1"/>
    <col min="6885" max="7132" width="9" style="3" customWidth="1"/>
    <col min="7133" max="7133" width="9.09765625" style="3" customWidth="1"/>
    <col min="7134" max="7134" width="7.59765625" style="3" customWidth="1"/>
    <col min="7135" max="7135" width="12.09765625" style="3" customWidth="1"/>
    <col min="7136" max="7136" width="7" style="3" customWidth="1"/>
    <col min="7137" max="7137" width="16" style="3" customWidth="1"/>
    <col min="7138" max="7138" width="13" style="3" customWidth="1"/>
    <col min="7139" max="7139" width="12.09765625" style="3" customWidth="1"/>
    <col min="7140" max="7140" width="13.59765625" style="3" customWidth="1"/>
    <col min="7141" max="7388" width="9" style="3" customWidth="1"/>
    <col min="7389" max="7389" width="9.09765625" style="3" customWidth="1"/>
    <col min="7390" max="7390" width="7.59765625" style="3" customWidth="1"/>
    <col min="7391" max="7391" width="12.09765625" style="3" customWidth="1"/>
    <col min="7392" max="7392" width="7" style="3" customWidth="1"/>
    <col min="7393" max="7393" width="16" style="3" customWidth="1"/>
    <col min="7394" max="7394" width="13" style="3" customWidth="1"/>
    <col min="7395" max="7395" width="12.09765625" style="3" customWidth="1"/>
    <col min="7396" max="7396" width="13.59765625" style="3" customWidth="1"/>
    <col min="7397" max="7644" width="9" style="3" customWidth="1"/>
    <col min="7645" max="7645" width="9.09765625" style="3" customWidth="1"/>
    <col min="7646" max="7646" width="7.59765625" style="3" customWidth="1"/>
    <col min="7647" max="7647" width="12.09765625" style="3" customWidth="1"/>
    <col min="7648" max="7648" width="7" style="3" customWidth="1"/>
    <col min="7649" max="7649" width="16" style="3" customWidth="1"/>
    <col min="7650" max="7650" width="13" style="3" customWidth="1"/>
    <col min="7651" max="7651" width="12.09765625" style="3" customWidth="1"/>
    <col min="7652" max="7652" width="13.59765625" style="3" customWidth="1"/>
    <col min="7653" max="7900" width="9" style="3" customWidth="1"/>
    <col min="7901" max="7901" width="9.09765625" style="3" customWidth="1"/>
    <col min="7902" max="7902" width="7.59765625" style="3" customWidth="1"/>
    <col min="7903" max="7903" width="12.09765625" style="3" customWidth="1"/>
    <col min="7904" max="7904" width="7" style="3" customWidth="1"/>
    <col min="7905" max="7905" width="16" style="3" customWidth="1"/>
    <col min="7906" max="7906" width="13" style="3" customWidth="1"/>
    <col min="7907" max="7907" width="12.09765625" style="3" customWidth="1"/>
    <col min="7908" max="7908" width="13.59765625" style="3" customWidth="1"/>
    <col min="7909" max="8156" width="9" style="3" customWidth="1"/>
    <col min="8157" max="8157" width="9.09765625" style="3" customWidth="1"/>
    <col min="8158" max="8158" width="7.59765625" style="3" customWidth="1"/>
    <col min="8159" max="8159" width="12.09765625" style="3" customWidth="1"/>
    <col min="8160" max="8160" width="7" style="3" customWidth="1"/>
    <col min="8161" max="8161" width="16" style="3" customWidth="1"/>
    <col min="8162" max="8162" width="13" style="3" customWidth="1"/>
    <col min="8163" max="8163" width="12.09765625" style="3" customWidth="1"/>
    <col min="8164" max="8164" width="13.59765625" style="3" customWidth="1"/>
    <col min="8165" max="8412" width="9" style="3" customWidth="1"/>
    <col min="8413" max="8413" width="9.09765625" style="3" customWidth="1"/>
    <col min="8414" max="8414" width="7.59765625" style="3" customWidth="1"/>
    <col min="8415" max="8415" width="12.09765625" style="3" customWidth="1"/>
    <col min="8416" max="8416" width="7" style="3" customWidth="1"/>
    <col min="8417" max="8417" width="16" style="3" customWidth="1"/>
    <col min="8418" max="8418" width="13" style="3" customWidth="1"/>
    <col min="8419" max="8419" width="12.09765625" style="3" customWidth="1"/>
    <col min="8420" max="8420" width="13.59765625" style="3" customWidth="1"/>
    <col min="8421" max="8668" width="9" style="3" customWidth="1"/>
    <col min="8669" max="8669" width="9.09765625" style="3" customWidth="1"/>
    <col min="8670" max="8670" width="7.59765625" style="3" customWidth="1"/>
    <col min="8671" max="8671" width="12.09765625" style="3" customWidth="1"/>
    <col min="8672" max="8672" width="7" style="3" customWidth="1"/>
    <col min="8673" max="8673" width="16" style="3" customWidth="1"/>
    <col min="8674" max="8674" width="13" style="3" customWidth="1"/>
    <col min="8675" max="8675" width="12.09765625" style="3" customWidth="1"/>
    <col min="8676" max="8676" width="13.59765625" style="3" customWidth="1"/>
    <col min="8677" max="8924" width="9" style="3" customWidth="1"/>
    <col min="8925" max="8925" width="9.09765625" style="3" customWidth="1"/>
    <col min="8926" max="8926" width="7.59765625" style="3" customWidth="1"/>
    <col min="8927" max="8927" width="12.09765625" style="3" customWidth="1"/>
    <col min="8928" max="8928" width="7" style="3" customWidth="1"/>
    <col min="8929" max="8929" width="16" style="3" customWidth="1"/>
    <col min="8930" max="8930" width="13" style="3" customWidth="1"/>
    <col min="8931" max="8931" width="12.09765625" style="3" customWidth="1"/>
    <col min="8932" max="8932" width="13.59765625" style="3" customWidth="1"/>
    <col min="8933" max="9180" width="9" style="3" customWidth="1"/>
    <col min="9181" max="9181" width="9.09765625" style="3" customWidth="1"/>
    <col min="9182" max="9182" width="7.59765625" style="3" customWidth="1"/>
    <col min="9183" max="9183" width="12.09765625" style="3" customWidth="1"/>
    <col min="9184" max="9184" width="7" style="3" customWidth="1"/>
    <col min="9185" max="9185" width="16" style="3" customWidth="1"/>
    <col min="9186" max="9186" width="13" style="3" customWidth="1"/>
    <col min="9187" max="9187" width="12.09765625" style="3" customWidth="1"/>
    <col min="9188" max="9188" width="13.59765625" style="3" customWidth="1"/>
    <col min="9189" max="9436" width="9" style="3" customWidth="1"/>
    <col min="9437" max="9437" width="9.09765625" style="3" customWidth="1"/>
    <col min="9438" max="9438" width="7.59765625" style="3" customWidth="1"/>
    <col min="9439" max="9439" width="12.09765625" style="3" customWidth="1"/>
    <col min="9440" max="9440" width="7" style="3" customWidth="1"/>
    <col min="9441" max="9441" width="16" style="3" customWidth="1"/>
    <col min="9442" max="9442" width="13" style="3" customWidth="1"/>
    <col min="9443" max="9443" width="12.09765625" style="3" customWidth="1"/>
    <col min="9444" max="9444" width="13.59765625" style="3" customWidth="1"/>
    <col min="9445" max="9692" width="9" style="3" customWidth="1"/>
    <col min="9693" max="9693" width="9.09765625" style="3" customWidth="1"/>
    <col min="9694" max="9694" width="7.59765625" style="3" customWidth="1"/>
    <col min="9695" max="9695" width="12.09765625" style="3" customWidth="1"/>
    <col min="9696" max="9696" width="7" style="3" customWidth="1"/>
    <col min="9697" max="9697" width="16" style="3" customWidth="1"/>
    <col min="9698" max="9698" width="13" style="3" customWidth="1"/>
    <col min="9699" max="9699" width="12.09765625" style="3" customWidth="1"/>
    <col min="9700" max="9700" width="13.59765625" style="3" customWidth="1"/>
    <col min="9701" max="9948" width="9" style="3" customWidth="1"/>
    <col min="9949" max="9949" width="9.09765625" style="3" customWidth="1"/>
    <col min="9950" max="9950" width="7.59765625" style="3" customWidth="1"/>
    <col min="9951" max="9951" width="12.09765625" style="3" customWidth="1"/>
    <col min="9952" max="9952" width="7" style="3" customWidth="1"/>
    <col min="9953" max="9953" width="16" style="3" customWidth="1"/>
    <col min="9954" max="9954" width="13" style="3" customWidth="1"/>
    <col min="9955" max="9955" width="12.09765625" style="3" customWidth="1"/>
    <col min="9956" max="9956" width="13.59765625" style="3" customWidth="1"/>
    <col min="9957" max="10204" width="9" style="3" customWidth="1"/>
    <col min="10205" max="10205" width="9.09765625" style="3" customWidth="1"/>
    <col min="10206" max="10206" width="7.59765625" style="3" customWidth="1"/>
    <col min="10207" max="10207" width="12.09765625" style="3" customWidth="1"/>
    <col min="10208" max="10208" width="7" style="3" customWidth="1"/>
    <col min="10209" max="10209" width="16" style="3" customWidth="1"/>
    <col min="10210" max="10210" width="13" style="3" customWidth="1"/>
    <col min="10211" max="10211" width="12.09765625" style="3" customWidth="1"/>
    <col min="10212" max="10212" width="13.59765625" style="3" customWidth="1"/>
    <col min="10213" max="10460" width="9" style="3" customWidth="1"/>
    <col min="10461" max="10461" width="9.09765625" style="3" customWidth="1"/>
    <col min="10462" max="10462" width="7.59765625" style="3" customWidth="1"/>
    <col min="10463" max="10463" width="12.09765625" style="3" customWidth="1"/>
    <col min="10464" max="10464" width="7" style="3" customWidth="1"/>
    <col min="10465" max="10465" width="16" style="3" customWidth="1"/>
    <col min="10466" max="10466" width="13" style="3" customWidth="1"/>
    <col min="10467" max="10467" width="12.09765625" style="3" customWidth="1"/>
    <col min="10468" max="10468" width="13.59765625" style="3" customWidth="1"/>
    <col min="10469" max="10716" width="9" style="3" customWidth="1"/>
    <col min="10717" max="10717" width="9.09765625" style="3" customWidth="1"/>
    <col min="10718" max="10718" width="7.59765625" style="3" customWidth="1"/>
    <col min="10719" max="10719" width="12.09765625" style="3" customWidth="1"/>
    <col min="10720" max="10720" width="7" style="3" customWidth="1"/>
    <col min="10721" max="10721" width="16" style="3" customWidth="1"/>
    <col min="10722" max="10722" width="13" style="3" customWidth="1"/>
    <col min="10723" max="10723" width="12.09765625" style="3" customWidth="1"/>
    <col min="10724" max="10724" width="13.59765625" style="3" customWidth="1"/>
    <col min="10725" max="10972" width="9" style="3" customWidth="1"/>
    <col min="10973" max="10973" width="9.09765625" style="3" customWidth="1"/>
    <col min="10974" max="10974" width="7.59765625" style="3" customWidth="1"/>
    <col min="10975" max="10975" width="12.09765625" style="3" customWidth="1"/>
    <col min="10976" max="10976" width="7" style="3" customWidth="1"/>
    <col min="10977" max="10977" width="16" style="3" customWidth="1"/>
    <col min="10978" max="10978" width="13" style="3" customWidth="1"/>
    <col min="10979" max="10979" width="12.09765625" style="3" customWidth="1"/>
    <col min="10980" max="10980" width="13.59765625" style="3" customWidth="1"/>
    <col min="10981" max="11228" width="9" style="3" customWidth="1"/>
    <col min="11229" max="11229" width="9.09765625" style="3" customWidth="1"/>
    <col min="11230" max="11230" width="7.59765625" style="3" customWidth="1"/>
    <col min="11231" max="11231" width="12.09765625" style="3" customWidth="1"/>
    <col min="11232" max="11232" width="7" style="3" customWidth="1"/>
    <col min="11233" max="11233" width="16" style="3" customWidth="1"/>
    <col min="11234" max="11234" width="13" style="3" customWidth="1"/>
    <col min="11235" max="11235" width="12.09765625" style="3" customWidth="1"/>
    <col min="11236" max="11236" width="13.59765625" style="3" customWidth="1"/>
    <col min="11237" max="11484" width="9" style="3" customWidth="1"/>
    <col min="11485" max="11485" width="9.09765625" style="3" customWidth="1"/>
    <col min="11486" max="11486" width="7.59765625" style="3" customWidth="1"/>
    <col min="11487" max="11487" width="12.09765625" style="3" customWidth="1"/>
    <col min="11488" max="11488" width="7" style="3" customWidth="1"/>
    <col min="11489" max="11489" width="16" style="3" customWidth="1"/>
    <col min="11490" max="11490" width="13" style="3" customWidth="1"/>
    <col min="11491" max="11491" width="12.09765625" style="3" customWidth="1"/>
    <col min="11492" max="11492" width="13.59765625" style="3" customWidth="1"/>
    <col min="11493" max="11740" width="9" style="3" customWidth="1"/>
    <col min="11741" max="11741" width="9.09765625" style="3" customWidth="1"/>
    <col min="11742" max="11742" width="7.59765625" style="3" customWidth="1"/>
    <col min="11743" max="11743" width="12.09765625" style="3" customWidth="1"/>
    <col min="11744" max="11744" width="7" style="3" customWidth="1"/>
    <col min="11745" max="11745" width="16" style="3" customWidth="1"/>
    <col min="11746" max="11746" width="13" style="3" customWidth="1"/>
    <col min="11747" max="11747" width="12.09765625" style="3" customWidth="1"/>
    <col min="11748" max="11748" width="13.59765625" style="3" customWidth="1"/>
    <col min="11749" max="11996" width="9" style="3" customWidth="1"/>
    <col min="11997" max="11997" width="9.09765625" style="3" customWidth="1"/>
    <col min="11998" max="11998" width="7.59765625" style="3" customWidth="1"/>
    <col min="11999" max="11999" width="12.09765625" style="3" customWidth="1"/>
    <col min="12000" max="12000" width="7" style="3" customWidth="1"/>
    <col min="12001" max="12001" width="16" style="3" customWidth="1"/>
    <col min="12002" max="12002" width="13" style="3" customWidth="1"/>
    <col min="12003" max="12003" width="12.09765625" style="3" customWidth="1"/>
    <col min="12004" max="12004" width="13.59765625" style="3" customWidth="1"/>
    <col min="12005" max="12252" width="9" style="3" customWidth="1"/>
    <col min="12253" max="12253" width="9.09765625" style="3" customWidth="1"/>
    <col min="12254" max="12254" width="7.59765625" style="3" customWidth="1"/>
    <col min="12255" max="12255" width="12.09765625" style="3" customWidth="1"/>
    <col min="12256" max="12256" width="7" style="3" customWidth="1"/>
    <col min="12257" max="12257" width="16" style="3" customWidth="1"/>
    <col min="12258" max="12258" width="13" style="3" customWidth="1"/>
    <col min="12259" max="12259" width="12.09765625" style="3" customWidth="1"/>
    <col min="12260" max="12260" width="13.59765625" style="3" customWidth="1"/>
    <col min="12261" max="12508" width="9" style="3" customWidth="1"/>
    <col min="12509" max="12509" width="9.09765625" style="3" customWidth="1"/>
    <col min="12510" max="12510" width="7.59765625" style="3" customWidth="1"/>
    <col min="12511" max="12511" width="12.09765625" style="3" customWidth="1"/>
    <col min="12512" max="12512" width="7" style="3" customWidth="1"/>
    <col min="12513" max="12513" width="16" style="3" customWidth="1"/>
    <col min="12514" max="12514" width="13" style="3" customWidth="1"/>
    <col min="12515" max="12515" width="12.09765625" style="3" customWidth="1"/>
    <col min="12516" max="12516" width="13.59765625" style="3" customWidth="1"/>
    <col min="12517" max="12764" width="9" style="3" customWidth="1"/>
    <col min="12765" max="12765" width="9.09765625" style="3" customWidth="1"/>
    <col min="12766" max="12766" width="7.59765625" style="3" customWidth="1"/>
    <col min="12767" max="12767" width="12.09765625" style="3" customWidth="1"/>
    <col min="12768" max="12768" width="7" style="3" customWidth="1"/>
    <col min="12769" max="12769" width="16" style="3" customWidth="1"/>
    <col min="12770" max="12770" width="13" style="3" customWidth="1"/>
    <col min="12771" max="12771" width="12.09765625" style="3" customWidth="1"/>
    <col min="12772" max="12772" width="13.59765625" style="3" customWidth="1"/>
    <col min="12773" max="13020" width="9" style="3" customWidth="1"/>
    <col min="13021" max="13021" width="9.09765625" style="3" customWidth="1"/>
    <col min="13022" max="13022" width="7.59765625" style="3" customWidth="1"/>
    <col min="13023" max="13023" width="12.09765625" style="3" customWidth="1"/>
    <col min="13024" max="13024" width="7" style="3" customWidth="1"/>
    <col min="13025" max="13025" width="16" style="3" customWidth="1"/>
    <col min="13026" max="13026" width="13" style="3" customWidth="1"/>
    <col min="13027" max="13027" width="12.09765625" style="3" customWidth="1"/>
    <col min="13028" max="13028" width="13.59765625" style="3" customWidth="1"/>
    <col min="13029" max="13276" width="9" style="3" customWidth="1"/>
    <col min="13277" max="13277" width="9.09765625" style="3" customWidth="1"/>
    <col min="13278" max="13278" width="7.59765625" style="3" customWidth="1"/>
    <col min="13279" max="13279" width="12.09765625" style="3" customWidth="1"/>
    <col min="13280" max="13280" width="7" style="3" customWidth="1"/>
    <col min="13281" max="13281" width="16" style="3" customWidth="1"/>
    <col min="13282" max="13282" width="13" style="3" customWidth="1"/>
    <col min="13283" max="13283" width="12.09765625" style="3" customWidth="1"/>
    <col min="13284" max="13284" width="13.59765625" style="3" customWidth="1"/>
    <col min="13285" max="13532" width="9" style="3" customWidth="1"/>
    <col min="13533" max="13533" width="9.09765625" style="3" customWidth="1"/>
    <col min="13534" max="13534" width="7.59765625" style="3" customWidth="1"/>
    <col min="13535" max="13535" width="12.09765625" style="3" customWidth="1"/>
    <col min="13536" max="13536" width="7" style="3" customWidth="1"/>
    <col min="13537" max="13537" width="16" style="3" customWidth="1"/>
    <col min="13538" max="13538" width="13" style="3" customWidth="1"/>
    <col min="13539" max="13539" width="12.09765625" style="3" customWidth="1"/>
    <col min="13540" max="13540" width="13.59765625" style="3" customWidth="1"/>
    <col min="13541" max="13788" width="9" style="3" customWidth="1"/>
    <col min="13789" max="13789" width="9.09765625" style="3" customWidth="1"/>
    <col min="13790" max="13790" width="7.59765625" style="3" customWidth="1"/>
    <col min="13791" max="13791" width="12.09765625" style="3" customWidth="1"/>
    <col min="13792" max="13792" width="7" style="3" customWidth="1"/>
    <col min="13793" max="13793" width="16" style="3" customWidth="1"/>
    <col min="13794" max="13794" width="13" style="3" customWidth="1"/>
    <col min="13795" max="13795" width="12.09765625" style="3" customWidth="1"/>
    <col min="13796" max="13796" width="13.59765625" style="3" customWidth="1"/>
    <col min="13797" max="14044" width="9" style="3" customWidth="1"/>
    <col min="14045" max="14045" width="9.09765625" style="3" customWidth="1"/>
    <col min="14046" max="14046" width="7.59765625" style="3" customWidth="1"/>
    <col min="14047" max="14047" width="12.09765625" style="3" customWidth="1"/>
    <col min="14048" max="14048" width="7" style="3" customWidth="1"/>
    <col min="14049" max="14049" width="16" style="3" customWidth="1"/>
    <col min="14050" max="14050" width="13" style="3" customWidth="1"/>
    <col min="14051" max="14051" width="12.09765625" style="3" customWidth="1"/>
    <col min="14052" max="14052" width="13.59765625" style="3" customWidth="1"/>
    <col min="14053" max="14300" width="9" style="3" customWidth="1"/>
    <col min="14301" max="14301" width="9.09765625" style="3" customWidth="1"/>
    <col min="14302" max="14302" width="7.59765625" style="3" customWidth="1"/>
    <col min="14303" max="14303" width="12.09765625" style="3" customWidth="1"/>
    <col min="14304" max="14304" width="7" style="3" customWidth="1"/>
    <col min="14305" max="14305" width="16" style="3" customWidth="1"/>
    <col min="14306" max="14306" width="13" style="3" customWidth="1"/>
    <col min="14307" max="14307" width="12.09765625" style="3" customWidth="1"/>
    <col min="14308" max="14308" width="13.59765625" style="3" customWidth="1"/>
    <col min="14309" max="14556" width="9" style="3" customWidth="1"/>
    <col min="14557" max="14557" width="9.09765625" style="3" customWidth="1"/>
    <col min="14558" max="14558" width="7.59765625" style="3" customWidth="1"/>
    <col min="14559" max="14559" width="12.09765625" style="3" customWidth="1"/>
    <col min="14560" max="14560" width="7" style="3" customWidth="1"/>
    <col min="14561" max="14561" width="16" style="3" customWidth="1"/>
    <col min="14562" max="14562" width="13" style="3" customWidth="1"/>
    <col min="14563" max="14563" width="12.09765625" style="3" customWidth="1"/>
    <col min="14564" max="14564" width="13.59765625" style="3" customWidth="1"/>
    <col min="14565" max="14812" width="9" style="3" customWidth="1"/>
    <col min="14813" max="14813" width="9.09765625" style="3" customWidth="1"/>
    <col min="14814" max="14814" width="7.59765625" style="3" customWidth="1"/>
    <col min="14815" max="14815" width="12.09765625" style="3" customWidth="1"/>
    <col min="14816" max="14816" width="7" style="3" customWidth="1"/>
    <col min="14817" max="14817" width="16" style="3" customWidth="1"/>
    <col min="14818" max="14818" width="13" style="3" customWidth="1"/>
    <col min="14819" max="14819" width="12.09765625" style="3" customWidth="1"/>
    <col min="14820" max="14820" width="13.59765625" style="3" customWidth="1"/>
    <col min="14821" max="15068" width="9" style="3" customWidth="1"/>
    <col min="15069" max="15069" width="9.09765625" style="3" customWidth="1"/>
    <col min="15070" max="15070" width="7.59765625" style="3" customWidth="1"/>
    <col min="15071" max="15071" width="12.09765625" style="3" customWidth="1"/>
    <col min="15072" max="15072" width="7" style="3" customWidth="1"/>
    <col min="15073" max="15073" width="16" style="3" customWidth="1"/>
    <col min="15074" max="15074" width="13" style="3" customWidth="1"/>
    <col min="15075" max="15075" width="12.09765625" style="3" customWidth="1"/>
    <col min="15076" max="15076" width="13.59765625" style="3" customWidth="1"/>
    <col min="15077" max="15324" width="9" style="3" customWidth="1"/>
    <col min="15325" max="15325" width="9.09765625" style="3" customWidth="1"/>
    <col min="15326" max="15326" width="7.59765625" style="3" customWidth="1"/>
    <col min="15327" max="15327" width="12.09765625" style="3" customWidth="1"/>
    <col min="15328" max="15328" width="7" style="3" customWidth="1"/>
    <col min="15329" max="15329" width="16" style="3" customWidth="1"/>
    <col min="15330" max="15330" width="13" style="3" customWidth="1"/>
    <col min="15331" max="15331" width="12.09765625" style="3" customWidth="1"/>
    <col min="15332" max="15332" width="13.59765625" style="3" customWidth="1"/>
    <col min="15333" max="15580" width="9" style="3" customWidth="1"/>
    <col min="15581" max="15581" width="9.09765625" style="3" customWidth="1"/>
    <col min="15582" max="15582" width="7.59765625" style="3" customWidth="1"/>
    <col min="15583" max="15583" width="12.09765625" style="3" customWidth="1"/>
    <col min="15584" max="15584" width="7" style="3" customWidth="1"/>
    <col min="15585" max="15585" width="16" style="3" customWidth="1"/>
    <col min="15586" max="15586" width="13" style="3" customWidth="1"/>
    <col min="15587" max="15587" width="12.09765625" style="3" customWidth="1"/>
    <col min="15588" max="15588" width="13.59765625" style="3" customWidth="1"/>
    <col min="15589" max="15836" width="9" style="3" customWidth="1"/>
    <col min="15837" max="15837" width="9.09765625" style="3" customWidth="1"/>
    <col min="15838" max="15838" width="7.59765625" style="3" customWidth="1"/>
    <col min="15839" max="15839" width="12.09765625" style="3" customWidth="1"/>
    <col min="15840" max="15840" width="7" style="3" customWidth="1"/>
    <col min="15841" max="15841" width="16" style="3" customWidth="1"/>
    <col min="15842" max="15842" width="13" style="3" customWidth="1"/>
    <col min="15843" max="15843" width="12.09765625" style="3" customWidth="1"/>
    <col min="15844" max="15844" width="13.59765625" style="3" customWidth="1"/>
    <col min="15845" max="16092" width="9" style="3" customWidth="1"/>
    <col min="16093" max="16093" width="9.09765625" style="3" customWidth="1"/>
    <col min="16094" max="16094" width="7.59765625" style="3" customWidth="1"/>
    <col min="16095" max="16095" width="12.09765625" style="3" customWidth="1"/>
    <col min="16096" max="16096" width="7" style="3" customWidth="1"/>
    <col min="16097" max="16097" width="16" style="3" customWidth="1"/>
    <col min="16098" max="16098" width="13" style="3" customWidth="1"/>
    <col min="16099" max="16099" width="12.09765625" style="3" customWidth="1"/>
    <col min="16100" max="16100" width="13.59765625" style="3" customWidth="1"/>
    <col min="16101" max="16384" width="9" style="3" customWidth="1"/>
  </cols>
  <sheetData>
    <row r="1" ht="30" customHeight="1" spans="1:25" x14ac:dyDescent="0.25">
      <c r="A1" s="173" t="s">
        <v>25</v>
      </c>
      <c r="B1" s="173"/>
      <c r="C1" s="173"/>
      <c r="D1" s="173"/>
      <c r="E1" s="173"/>
      <c r="F1" s="173"/>
      <c r="G1" s="173"/>
      <c r="H1" s="17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9.8" customHeight="1" spans="1:25" x14ac:dyDescent="0.25">
      <c r="A2" s="265" t="s">
        <v>26</v>
      </c>
      <c r="B2" s="265"/>
      <c r="C2" s="265"/>
      <c r="D2" s="265"/>
      <c r="E2" s="265"/>
      <c r="F2" s="265"/>
      <c r="G2" s="265"/>
      <c r="H2" s="265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9.8" customHeight="1" spans="1:25" x14ac:dyDescent="0.25">
      <c r="A3" s="158"/>
      <c r="B3" s="158"/>
      <c r="C3" s="158"/>
      <c r="D3" s="158"/>
      <c r="E3" s="158"/>
      <c r="F3" s="122"/>
      <c r="G3" s="122"/>
      <c r="H3" s="122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x14ac:dyDescent="0.25">
      <c r="A4" s="3" t="s">
        <v>81</v>
      </c>
      <c r="B4" s="138" t="s">
        <v>3</v>
      </c>
      <c r="C4" s="175"/>
      <c r="D4" s="3"/>
      <c r="E4" s="266"/>
      <c r="F4" s="267" t="s">
        <v>82</v>
      </c>
      <c r="G4" s="572"/>
      <c r="H4" s="158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2.75" customHeight="1" spans="1:25" x14ac:dyDescent="0.25">
      <c r="A5" s="268"/>
      <c r="B5" s="266"/>
      <c r="C5" s="3"/>
      <c r="D5" s="3"/>
      <c r="E5" s="266"/>
      <c r="F5" s="269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3" t="s">
        <v>83</v>
      </c>
      <c r="B6" s="138" t="s">
        <v>63</v>
      </c>
      <c r="C6" s="158"/>
      <c r="D6" s="3"/>
      <c r="E6" s="3" t="s">
        <v>84</v>
      </c>
      <c r="F6" s="267" t="s">
        <v>85</v>
      </c>
      <c r="G6" s="589" t="s">
        <v>26</v>
      </c>
      <c r="H6" s="122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15.75" customHeight="1" spans="1:25" x14ac:dyDescent="0.25">
      <c r="A7" s="266" t="s">
        <v>84</v>
      </c>
      <c r="B7" s="266"/>
      <c r="C7" s="3"/>
      <c r="D7" s="3"/>
      <c r="E7" s="3"/>
      <c r="F7" s="122"/>
      <c r="G7" s="3"/>
      <c r="H7" s="266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30.75" customHeight="1" spans="1:25" x14ac:dyDescent="0.25">
      <c r="A8" s="3"/>
      <c r="B8" s="270" t="s">
        <v>86</v>
      </c>
      <c r="C8" s="271"/>
      <c r="D8" s="271"/>
      <c r="E8" s="271"/>
      <c r="F8" s="271"/>
      <c r="G8" s="272"/>
      <c r="H8" s="122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17.25" customHeight="1" spans="1:25" x14ac:dyDescent="0.25">
      <c r="A9" s="3"/>
      <c r="B9" s="3"/>
      <c r="C9" s="3"/>
      <c r="D9" s="3"/>
      <c r="E9" s="3"/>
      <c r="F9" s="3"/>
      <c r="G9" s="3"/>
      <c r="H9" s="158" t="s">
        <v>87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4" customHeight="1" spans="1:25" x14ac:dyDescent="0.25">
      <c r="A10" s="273" t="s">
        <v>88</v>
      </c>
      <c r="B10" s="274"/>
      <c r="C10" s="275"/>
      <c r="D10" s="276" t="s">
        <v>89</v>
      </c>
      <c r="E10" s="277" t="s">
        <v>90</v>
      </c>
      <c r="F10" s="275"/>
      <c r="G10" s="278" t="s">
        <v>91</v>
      </c>
      <c r="H10" s="279" t="s">
        <v>53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4" customHeight="1" spans="1:25" x14ac:dyDescent="0.25">
      <c r="A11" s="280" t="s">
        <v>92</v>
      </c>
      <c r="B11" s="133"/>
      <c r="C11" s="181" t="s">
        <v>93</v>
      </c>
      <c r="D11" s="281"/>
      <c r="E11" s="181" t="s">
        <v>92</v>
      </c>
      <c r="F11" s="181" t="s">
        <v>93</v>
      </c>
      <c r="G11" s="182"/>
      <c r="H11" s="282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4" customHeight="1" spans="1:25" x14ac:dyDescent="0.25">
      <c r="A12" s="283"/>
      <c r="B12" s="284"/>
      <c r="C12" s="284"/>
      <c r="D12" s="189"/>
      <c r="E12" s="189"/>
      <c r="F12" s="285"/>
      <c r="G12" s="189"/>
      <c r="H12" s="286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4" customHeight="1" spans="1:25" x14ac:dyDescent="0.25">
      <c r="A13" s="287"/>
      <c r="B13" s="288"/>
      <c r="C13" s="288"/>
      <c r="D13" s="195"/>
      <c r="E13" s="195"/>
      <c r="F13" s="289"/>
      <c r="G13" s="195"/>
      <c r="H13" s="290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4" customHeight="1" spans="1:25" x14ac:dyDescent="0.25">
      <c r="A14" s="287"/>
      <c r="B14" s="288"/>
      <c r="C14" s="288"/>
      <c r="D14" s="195"/>
      <c r="E14" s="195"/>
      <c r="F14" s="289"/>
      <c r="G14" s="195"/>
      <c r="H14" s="290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4" customHeight="1" spans="1:25" x14ac:dyDescent="0.25">
      <c r="A15" s="287"/>
      <c r="B15" s="288"/>
      <c r="C15" s="288"/>
      <c r="D15" s="195"/>
      <c r="E15" s="195"/>
      <c r="F15" s="289"/>
      <c r="G15" s="195"/>
      <c r="H15" s="290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4" customHeight="1" spans="1:25" x14ac:dyDescent="0.25">
      <c r="A16" s="287"/>
      <c r="B16" s="288"/>
      <c r="C16" s="288"/>
      <c r="D16" s="195"/>
      <c r="E16" s="195"/>
      <c r="F16" s="291"/>
      <c r="G16" s="195"/>
      <c r="H16" s="290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4" customHeight="1" spans="1:25" x14ac:dyDescent="0.25">
      <c r="A17" s="292"/>
      <c r="B17" s="23"/>
      <c r="C17" s="23"/>
      <c r="D17" s="23"/>
      <c r="E17" s="23"/>
      <c r="F17" s="293"/>
      <c r="G17" s="23"/>
      <c r="H17" s="25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4" customHeight="1" spans="1:25" x14ac:dyDescent="0.25">
      <c r="A18" s="287"/>
      <c r="B18" s="288"/>
      <c r="C18" s="288"/>
      <c r="D18" s="195"/>
      <c r="E18" s="195"/>
      <c r="F18" s="291"/>
      <c r="G18" s="195"/>
      <c r="H18" s="290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4" customHeight="1" spans="1:25" x14ac:dyDescent="0.25">
      <c r="A19" s="287"/>
      <c r="B19" s="288"/>
      <c r="C19" s="288"/>
      <c r="D19" s="195"/>
      <c r="E19" s="195"/>
      <c r="F19" s="291"/>
      <c r="G19" s="195"/>
      <c r="H19" s="290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4" customHeight="1" spans="1:25" x14ac:dyDescent="0.25">
      <c r="A20" s="287"/>
      <c r="B20" s="288"/>
      <c r="C20" s="288"/>
      <c r="D20" s="195"/>
      <c r="E20" s="195"/>
      <c r="F20" s="291"/>
      <c r="G20" s="195"/>
      <c r="H20" s="290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4" customHeight="1" spans="1:25" x14ac:dyDescent="0.25">
      <c r="A21" s="294"/>
      <c r="B21" s="295"/>
      <c r="C21" s="295"/>
      <c r="D21" s="296"/>
      <c r="E21" s="296"/>
      <c r="F21" s="92"/>
      <c r="G21" s="296"/>
      <c r="H21" s="297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4" customHeight="1" spans="1:25" x14ac:dyDescent="0.25">
      <c r="A22" s="298"/>
      <c r="B22" s="299"/>
      <c r="C22" s="299"/>
      <c r="D22" s="221"/>
      <c r="E22" s="221"/>
      <c r="F22" s="300"/>
      <c r="G22" s="221"/>
      <c r="H22" s="301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4" customHeight="1" spans="1:25" x14ac:dyDescent="0.25">
      <c r="A23" s="287"/>
      <c r="B23" s="288"/>
      <c r="C23" s="288"/>
      <c r="D23" s="195"/>
      <c r="E23" s="195"/>
      <c r="F23" s="289"/>
      <c r="G23" s="195"/>
      <c r="H23" s="290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24" customHeight="1" spans="1:25" x14ac:dyDescent="0.25">
      <c r="A24" s="287"/>
      <c r="B24" s="288"/>
      <c r="C24" s="288"/>
      <c r="D24" s="195"/>
      <c r="E24" s="195"/>
      <c r="F24" s="289"/>
      <c r="G24" s="195"/>
      <c r="H24" s="290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24" customHeight="1" spans="1:25" x14ac:dyDescent="0.25">
      <c r="A25" s="287"/>
      <c r="B25" s="288"/>
      <c r="C25" s="288"/>
      <c r="D25" s="195"/>
      <c r="E25" s="195"/>
      <c r="F25" s="289"/>
      <c r="G25" s="195"/>
      <c r="H25" s="290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24" customHeight="1" spans="1:25" x14ac:dyDescent="0.25">
      <c r="A26" s="302"/>
      <c r="B26" s="303"/>
      <c r="C26" s="303"/>
      <c r="D26" s="220"/>
      <c r="E26" s="220"/>
      <c r="F26" s="304"/>
      <c r="G26" s="220"/>
      <c r="H26" s="305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24" customHeight="1" spans="1:25" x14ac:dyDescent="0.25">
      <c r="A27" s="306"/>
      <c r="B27" s="307"/>
      <c r="C27" s="308"/>
      <c r="D27" s="308"/>
      <c r="E27" s="308"/>
      <c r="F27" s="308"/>
      <c r="G27" s="308"/>
      <c r="H27" s="309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24" customHeight="1" spans="1:25" x14ac:dyDescent="0.25">
      <c r="A28" s="310"/>
      <c r="B28" s="311"/>
      <c r="C28" s="288"/>
      <c r="D28" s="288"/>
      <c r="E28" s="288"/>
      <c r="F28" s="288"/>
      <c r="G28" s="288"/>
      <c r="H28" s="290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24" customHeight="1" spans="1:25" x14ac:dyDescent="0.25">
      <c r="A29" s="310"/>
      <c r="B29" s="311"/>
      <c r="C29" s="590"/>
      <c r="D29" s="590"/>
      <c r="E29" s="590"/>
      <c r="F29" s="590"/>
      <c r="G29" s="590"/>
      <c r="H29" s="591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24" customHeight="1" spans="1:25" x14ac:dyDescent="0.25">
      <c r="A30" s="310"/>
      <c r="B30" s="311"/>
      <c r="C30" s="590"/>
      <c r="D30" s="590"/>
      <c r="E30" s="590"/>
      <c r="F30" s="590"/>
      <c r="G30" s="590"/>
      <c r="H30" s="591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24" customHeight="1" spans="1:25" x14ac:dyDescent="0.25">
      <c r="A31" s="314"/>
      <c r="B31" s="315"/>
      <c r="C31" s="592"/>
      <c r="D31" s="592"/>
      <c r="E31" s="592"/>
      <c r="F31" s="592"/>
      <c r="G31" s="592"/>
      <c r="H31" s="59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9" customHeight="1" spans="1:2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24" customHeight="1" spans="1:25" x14ac:dyDescent="0.25">
      <c r="A33" s="179" t="s">
        <v>94</v>
      </c>
      <c r="B33" s="177" t="s">
        <v>95</v>
      </c>
      <c r="C33" s="195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24" customHeight="1" spans="1:25" x14ac:dyDescent="0.25">
      <c r="A34" s="318"/>
      <c r="B34" s="177" t="s">
        <v>96</v>
      </c>
      <c r="C34" s="195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24" customHeight="1" spans="1:25" x14ac:dyDescent="0.25">
      <c r="A35" s="179" t="s">
        <v>97</v>
      </c>
      <c r="B35" s="177" t="s">
        <v>95</v>
      </c>
      <c r="C35" s="195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24" customHeight="1" spans="1:25" x14ac:dyDescent="0.25">
      <c r="A36" s="182"/>
      <c r="B36" s="180" t="s">
        <v>96</v>
      </c>
      <c r="C36" s="30"/>
      <c r="D36" s="3"/>
      <c r="E36" s="3"/>
      <c r="F36" s="3"/>
      <c r="G36" s="170"/>
      <c r="H36" s="170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24" customHeight="1" spans="1:25" x14ac:dyDescent="0.25">
      <c r="A37" s="319" t="s">
        <v>98</v>
      </c>
      <c r="B37" s="320"/>
      <c r="C37" s="195">
        <f>SUM(C33:C36)</f>
        <v>0</v>
      </c>
      <c r="D37" s="3"/>
      <c r="E37" s="3"/>
      <c r="F37" s="3"/>
      <c r="G37" s="171" t="s">
        <v>23</v>
      </c>
      <c r="H37" s="171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30" customHeight="1" spans="1:25" x14ac:dyDescent="0.25">
      <c r="A38" s="173" t="s">
        <v>25</v>
      </c>
      <c r="B38" s="173"/>
      <c r="C38" s="173"/>
      <c r="D38" s="173"/>
      <c r="E38" s="173"/>
      <c r="F38" s="173"/>
      <c r="G38" s="173"/>
      <c r="H38" s="17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9.8" customHeight="1" spans="1:25" x14ac:dyDescent="0.25">
      <c r="A39" s="265" t="s">
        <v>26</v>
      </c>
      <c r="B39" s="265"/>
      <c r="C39" s="265"/>
      <c r="D39" s="265"/>
      <c r="E39" s="265"/>
      <c r="F39" s="265"/>
      <c r="G39" s="265"/>
      <c r="H39" s="265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9.8" customHeight="1" spans="1:25" x14ac:dyDescent="0.25">
      <c r="A40" s="158"/>
      <c r="B40" s="158"/>
      <c r="C40" s="158"/>
      <c r="D40" s="158"/>
      <c r="E40" s="158"/>
      <c r="F40" s="122"/>
      <c r="G40" s="122"/>
      <c r="H40" s="122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3" t="s">
        <v>81</v>
      </c>
      <c r="B41" s="175" t="str">
        <f>모선이름</f>
        <v>PEGASUS PROTO</v>
      </c>
      <c r="C41" s="175"/>
      <c r="D41" s="3"/>
      <c r="E41" s="266"/>
      <c r="F41" s="267" t="s">
        <v>82</v>
      </c>
      <c r="G41" s="572">
        <v>46228</v>
      </c>
      <c r="H41" s="158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2.75" customHeight="1" spans="1:25" x14ac:dyDescent="0.25">
      <c r="A42" s="268"/>
      <c r="B42" s="266"/>
      <c r="C42" s="3"/>
      <c r="D42" s="3"/>
      <c r="E42" s="266"/>
      <c r="F42" s="269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x14ac:dyDescent="0.25">
      <c r="A43" s="3" t="s">
        <v>83</v>
      </c>
      <c r="B43" s="138" t="s">
        <v>77</v>
      </c>
      <c r="C43" s="158"/>
      <c r="D43" s="3"/>
      <c r="E43" s="3" t="s">
        <v>84</v>
      </c>
      <c r="F43" s="267" t="s">
        <v>85</v>
      </c>
      <c r="G43" s="589" t="s">
        <v>26</v>
      </c>
      <c r="H43" s="122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 spans="1:25" x14ac:dyDescent="0.25">
      <c r="A44" s="266" t="s">
        <v>84</v>
      </c>
      <c r="B44" s="266"/>
      <c r="C44" s="3"/>
      <c r="D44" s="3"/>
      <c r="E44" s="3"/>
      <c r="F44" s="122"/>
      <c r="G44" s="3"/>
      <c r="H44" s="266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30.75" customHeight="1" spans="1:25" x14ac:dyDescent="0.25">
      <c r="A45" s="3"/>
      <c r="B45" s="270" t="s">
        <v>86</v>
      </c>
      <c r="C45" s="271"/>
      <c r="D45" s="271"/>
      <c r="E45" s="271"/>
      <c r="F45" s="271"/>
      <c r="G45" s="272"/>
      <c r="H45" s="321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7.25" customHeight="1" spans="1:25" x14ac:dyDescent="0.25">
      <c r="A46" s="3"/>
      <c r="B46" s="3"/>
      <c r="C46" s="3"/>
      <c r="D46" s="3"/>
      <c r="E46" s="3"/>
      <c r="F46" s="3"/>
      <c r="G46" s="3"/>
      <c r="H46" s="158" t="s">
        <v>99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24" customHeight="1" spans="1:25" x14ac:dyDescent="0.25">
      <c r="A47" s="273" t="s">
        <v>88</v>
      </c>
      <c r="B47" s="274"/>
      <c r="C47" s="275"/>
      <c r="D47" s="276" t="s">
        <v>89</v>
      </c>
      <c r="E47" s="277" t="s">
        <v>90</v>
      </c>
      <c r="F47" s="275"/>
      <c r="G47" s="278" t="s">
        <v>91</v>
      </c>
      <c r="H47" s="279" t="s">
        <v>53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24" customHeight="1" spans="1:25" x14ac:dyDescent="0.25">
      <c r="A48" s="280" t="s">
        <v>92</v>
      </c>
      <c r="B48" s="133"/>
      <c r="C48" s="181" t="s">
        <v>93</v>
      </c>
      <c r="D48" s="281"/>
      <c r="E48" s="181" t="s">
        <v>92</v>
      </c>
      <c r="F48" s="181" t="s">
        <v>93</v>
      </c>
      <c r="G48" s="182"/>
      <c r="H48" s="282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24" customHeight="1" spans="1:25" x14ac:dyDescent="0.25">
      <c r="A49" s="283" t="s">
        <v>100</v>
      </c>
      <c r="B49" s="284"/>
      <c r="C49" s="322"/>
      <c r="D49" s="189"/>
      <c r="E49" s="189"/>
      <c r="F49" s="323"/>
      <c r="G49" s="189"/>
      <c r="H49" s="324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24" customHeight="1" spans="1:25" x14ac:dyDescent="0.25">
      <c r="A50" s="298"/>
      <c r="B50" s="299"/>
      <c r="C50" s="221"/>
      <c r="D50" s="221"/>
      <c r="E50" s="221"/>
      <c r="F50" s="325"/>
      <c r="G50" s="221"/>
      <c r="H50" s="326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24" customHeight="1" spans="1:25" x14ac:dyDescent="0.25">
      <c r="A51" s="287"/>
      <c r="B51" s="327"/>
      <c r="C51" s="328"/>
      <c r="D51" s="240"/>
      <c r="E51" s="240"/>
      <c r="F51" s="329"/>
      <c r="G51" s="240"/>
      <c r="H51" s="330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24" customHeight="1" spans="1:25" x14ac:dyDescent="0.25">
      <c r="A52" s="331"/>
      <c r="B52" s="240"/>
      <c r="C52" s="328"/>
      <c r="D52" s="240"/>
      <c r="E52" s="240"/>
      <c r="F52" s="329"/>
      <c r="G52" s="240"/>
      <c r="H52" s="330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24" customHeight="1" spans="1:25" x14ac:dyDescent="0.25">
      <c r="A53" s="332"/>
      <c r="B53" s="333"/>
      <c r="C53" s="333"/>
      <c r="D53" s="296"/>
      <c r="E53" s="296"/>
      <c r="F53" s="334"/>
      <c r="G53" s="296"/>
      <c r="H53" s="335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24" customHeight="1" spans="1:25" x14ac:dyDescent="0.25">
      <c r="A54" s="336"/>
      <c r="B54" s="337"/>
      <c r="C54" s="337"/>
      <c r="D54" s="338"/>
      <c r="E54" s="338"/>
      <c r="F54" s="339"/>
      <c r="G54" s="338"/>
      <c r="H54" s="340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24" customHeight="1" spans="1:25" x14ac:dyDescent="0.25">
      <c r="A55" s="341"/>
      <c r="B55" s="342"/>
      <c r="C55" s="342"/>
      <c r="D55" s="240"/>
      <c r="E55" s="240"/>
      <c r="F55" s="329"/>
      <c r="G55" s="240"/>
      <c r="H55" s="330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24" customHeight="1" spans="1:25" x14ac:dyDescent="0.25">
      <c r="A56" s="343"/>
      <c r="B56" s="344"/>
      <c r="C56" s="342"/>
      <c r="D56" s="240"/>
      <c r="E56" s="240"/>
      <c r="F56" s="329"/>
      <c r="G56" s="240"/>
      <c r="H56" s="330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24" customHeight="1" spans="1:25" x14ac:dyDescent="0.25">
      <c r="A57" s="345"/>
      <c r="B57" s="346"/>
      <c r="C57" s="328"/>
      <c r="D57" s="240"/>
      <c r="E57" s="240"/>
      <c r="F57" s="329"/>
      <c r="G57" s="240"/>
      <c r="H57" s="330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24" customHeight="1" spans="1:25" x14ac:dyDescent="0.25">
      <c r="A58" s="347"/>
      <c r="B58" s="296"/>
      <c r="C58" s="348"/>
      <c r="D58" s="296"/>
      <c r="E58" s="296"/>
      <c r="F58" s="296"/>
      <c r="G58" s="296"/>
      <c r="H58" s="335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24" customHeight="1" spans="1:25" x14ac:dyDescent="0.25">
      <c r="A59" s="349"/>
      <c r="B59" s="221"/>
      <c r="C59" s="350"/>
      <c r="D59" s="221"/>
      <c r="E59" s="221"/>
      <c r="F59" s="221"/>
      <c r="G59" s="221"/>
      <c r="H59" s="326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24" customHeight="1" spans="1:25" x14ac:dyDescent="0.25">
      <c r="A60" s="331"/>
      <c r="B60" s="240"/>
      <c r="C60" s="351"/>
      <c r="D60" s="240"/>
      <c r="E60" s="240"/>
      <c r="F60" s="240"/>
      <c r="G60" s="240"/>
      <c r="H60" s="330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24" customHeight="1" spans="1:25" x14ac:dyDescent="0.25">
      <c r="A61" s="47"/>
      <c r="B61" s="352"/>
      <c r="C61" s="353"/>
      <c r="D61" s="240"/>
      <c r="E61" s="352"/>
      <c r="F61" s="352"/>
      <c r="G61" s="352"/>
      <c r="H61" s="354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24" customHeight="1" spans="1:25" x14ac:dyDescent="0.25">
      <c r="A62" s="47"/>
      <c r="B62" s="352"/>
      <c r="C62" s="353"/>
      <c r="D62" s="240"/>
      <c r="E62" s="352"/>
      <c r="F62" s="352"/>
      <c r="G62" s="352"/>
      <c r="H62" s="354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24" customHeight="1" spans="1:25" x14ac:dyDescent="0.25">
      <c r="A63" s="58"/>
      <c r="B63" s="59"/>
      <c r="C63" s="355"/>
      <c r="D63" s="296"/>
      <c r="E63" s="59"/>
      <c r="F63" s="59"/>
      <c r="G63" s="59"/>
      <c r="H63" s="60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24" customHeight="1" spans="1:25" x14ac:dyDescent="0.25">
      <c r="A64" s="356"/>
      <c r="B64" s="357"/>
      <c r="C64" s="358"/>
      <c r="D64" s="23"/>
      <c r="E64" s="357"/>
      <c r="F64" s="357"/>
      <c r="G64" s="357"/>
      <c r="H64" s="359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24" customHeight="1" spans="1:25" x14ac:dyDescent="0.25">
      <c r="A65" s="47"/>
      <c r="B65" s="352"/>
      <c r="C65" s="353"/>
      <c r="D65" s="240"/>
      <c r="E65" s="352"/>
      <c r="F65" s="352"/>
      <c r="G65" s="352"/>
      <c r="H65" s="354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24" customHeight="1" spans="1:25" x14ac:dyDescent="0.25">
      <c r="A66" s="47"/>
      <c r="B66" s="352"/>
      <c r="C66" s="353"/>
      <c r="D66" s="240"/>
      <c r="E66" s="352"/>
      <c r="F66" s="352"/>
      <c r="G66" s="352"/>
      <c r="H66" s="354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24" customHeight="1" spans="1:25" x14ac:dyDescent="0.25">
      <c r="A67" s="47"/>
      <c r="B67" s="352"/>
      <c r="C67" s="353"/>
      <c r="D67" s="352"/>
      <c r="E67" s="352"/>
      <c r="F67" s="352"/>
      <c r="G67" s="352"/>
      <c r="H67" s="354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24" customHeight="1" spans="1:25" x14ac:dyDescent="0.25">
      <c r="A68" s="58"/>
      <c r="B68" s="59"/>
      <c r="C68" s="355"/>
      <c r="D68" s="59"/>
      <c r="E68" s="59"/>
      <c r="F68" s="355"/>
      <c r="G68" s="59"/>
      <c r="H68" s="60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9" customHeight="1" spans="1:2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24" customHeight="1" spans="1:25" x14ac:dyDescent="0.25">
      <c r="A70" s="179" t="s">
        <v>94</v>
      </c>
      <c r="B70" s="360" t="s">
        <v>95</v>
      </c>
      <c r="C70" s="240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24" customHeight="1" spans="1:25" x14ac:dyDescent="0.25">
      <c r="A71" s="318"/>
      <c r="B71" s="360" t="s">
        <v>96</v>
      </c>
      <c r="C71" s="240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24" customHeight="1" spans="1:25" x14ac:dyDescent="0.25">
      <c r="A72" s="179" t="s">
        <v>97</v>
      </c>
      <c r="B72" s="360" t="s">
        <v>95</v>
      </c>
      <c r="C72" s="240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24" customHeight="1" spans="1:25" x14ac:dyDescent="0.25">
      <c r="A73" s="182"/>
      <c r="B73" s="180" t="s">
        <v>96</v>
      </c>
      <c r="C73" s="30"/>
      <c r="D73" s="3"/>
      <c r="E73" s="3"/>
      <c r="F73" s="3"/>
      <c r="G73" s="170"/>
      <c r="H73" s="170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24" customHeight="1" spans="1:25" x14ac:dyDescent="0.25">
      <c r="A74" s="319" t="s">
        <v>98</v>
      </c>
      <c r="B74" s="320"/>
      <c r="C74" s="240">
        <f>SUM(C70:C73)</f>
        <v>0</v>
      </c>
      <c r="D74" s="3"/>
      <c r="E74" s="3"/>
      <c r="F74" s="3"/>
      <c r="G74" s="171" t="s">
        <v>23</v>
      </c>
      <c r="H74" s="171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</sheetData>
  <mergeCells count="54">
    <mergeCell ref="A1:H1"/>
    <mergeCell ref="A2:H2"/>
    <mergeCell ref="B4:C4"/>
    <mergeCell ref="G4:H4"/>
    <mergeCell ref="B6:C6"/>
    <mergeCell ref="G6:H6"/>
    <mergeCell ref="B8:G8"/>
    <mergeCell ref="A10:C10"/>
    <mergeCell ref="E10:F10"/>
    <mergeCell ref="A11:B11"/>
    <mergeCell ref="D10:D11"/>
    <mergeCell ref="G10:G11"/>
    <mergeCell ref="H10:H11"/>
    <mergeCell ref="A33:A34"/>
    <mergeCell ref="A35:A36"/>
    <mergeCell ref="A37:B37"/>
    <mergeCell ref="G37:H37"/>
    <mergeCell ref="A38:H38"/>
    <mergeCell ref="A39:H39"/>
    <mergeCell ref="B41:C41"/>
    <mergeCell ref="G41:H41"/>
    <mergeCell ref="B43:C43"/>
    <mergeCell ref="G43:H43"/>
    <mergeCell ref="B45:G45"/>
    <mergeCell ref="A47:C47"/>
    <mergeCell ref="E47:F47"/>
    <mergeCell ref="A48:B48"/>
    <mergeCell ref="D47:D48"/>
    <mergeCell ref="G47:G48"/>
    <mergeCell ref="H47:H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70:A71"/>
    <mergeCell ref="A72:A73"/>
    <mergeCell ref="A74:B74"/>
    <mergeCell ref="G74:H74"/>
  </mergeCells>
  <printOptions horizontalCentered="1" verticalCentered="1"/>
  <pageMargins left="0.4330708661417323" right="0.2362204724409449" top="0.2755905511811024" bottom="0.2755905511811024" header="0.1968503937007874" footer="0.15748031496062992"/>
  <pageSetup paperSize="9" orientation="portrait" horizontalDpi="4294967295" verticalDpi="4294967295" scale="95" fitToWidth="1" fitToHeight="1" firstPageNumber="1" useFirstPageNumber="1" copies="1"/>
</worksheet>
</file>

<file path=xl/worksheets/sheet10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Y138"/>
  <sheetViews>
    <sheetView workbookViewId="0" zoomScale="90" zoomScaleNormal="90">
      <selection activeCell="A4" sqref="A4"/>
    </sheetView>
  </sheetViews>
  <sheetFormatPr defaultRowHeight="19.2" outlineLevelRow="0" outlineLevelCol="0" x14ac:dyDescent="0" customHeight="1"/>
  <cols>
    <col min="1" max="1" width="13.8984375" style="1" customWidth="1"/>
    <col min="2" max="2" width="9.8984375" style="1" customWidth="1"/>
    <col min="3" max="3" width="8.09765625" style="1" customWidth="1"/>
    <col min="4" max="4" width="7.59765625" style="1" customWidth="1"/>
    <col min="5" max="5" width="5.59765625" style="1" customWidth="1"/>
    <col min="6" max="7" width="8.3984375" style="1" customWidth="1"/>
    <col min="8" max="9" width="11.09765625" style="1" customWidth="1"/>
    <col min="10" max="243" width="9" style="1" customWidth="1"/>
    <col min="244" max="244" width="13.8984375" style="1" customWidth="1"/>
    <col min="245" max="245" width="9.8984375" style="1" customWidth="1"/>
    <col min="246" max="246" width="8.3984375" style="1" customWidth="1"/>
    <col min="247" max="247" width="8.19921875" style="1" customWidth="1"/>
    <col min="248" max="248" width="5.59765625" style="1" customWidth="1"/>
    <col min="249" max="250" width="8.3984375" style="1" customWidth="1"/>
    <col min="251" max="251" width="11.09765625" style="1" customWidth="1"/>
    <col min="252" max="252" width="11.59765625" style="1" customWidth="1"/>
    <col min="253" max="499" width="9" style="1" customWidth="1"/>
    <col min="500" max="500" width="13.8984375" style="1" customWidth="1"/>
    <col min="501" max="501" width="9.8984375" style="1" customWidth="1"/>
    <col min="502" max="502" width="8.3984375" style="1" customWidth="1"/>
    <col min="503" max="503" width="8.19921875" style="1" customWidth="1"/>
    <col min="504" max="504" width="5.59765625" style="1" customWidth="1"/>
    <col min="505" max="506" width="8.3984375" style="1" customWidth="1"/>
    <col min="507" max="507" width="11.09765625" style="1" customWidth="1"/>
    <col min="508" max="508" width="11.59765625" style="1" customWidth="1"/>
    <col min="509" max="755" width="9" style="1" customWidth="1"/>
    <col min="756" max="756" width="13.8984375" style="1" customWidth="1"/>
    <col min="757" max="757" width="9.8984375" style="1" customWidth="1"/>
    <col min="758" max="758" width="8.3984375" style="1" customWidth="1"/>
    <col min="759" max="759" width="8.19921875" style="1" customWidth="1"/>
    <col min="760" max="760" width="5.59765625" style="1" customWidth="1"/>
    <col min="761" max="762" width="8.3984375" style="1" customWidth="1"/>
    <col min="763" max="763" width="11.09765625" style="1" customWidth="1"/>
    <col min="764" max="764" width="11.59765625" style="1" customWidth="1"/>
    <col min="765" max="1011" width="9" style="1" customWidth="1"/>
    <col min="1012" max="1012" width="13.8984375" style="1" customWidth="1"/>
    <col min="1013" max="1013" width="9.8984375" style="1" customWidth="1"/>
    <col min="1014" max="1014" width="8.3984375" style="1" customWidth="1"/>
    <col min="1015" max="1015" width="8.19921875" style="1" customWidth="1"/>
    <col min="1016" max="1016" width="5.59765625" style="1" customWidth="1"/>
    <col min="1017" max="1018" width="8.3984375" style="1" customWidth="1"/>
    <col min="1019" max="1019" width="11.09765625" style="1" customWidth="1"/>
    <col min="1020" max="1020" width="11.59765625" style="1" customWidth="1"/>
    <col min="1021" max="1267" width="9" style="1" customWidth="1"/>
    <col min="1268" max="1268" width="13.8984375" style="1" customWidth="1"/>
    <col min="1269" max="1269" width="9.8984375" style="1" customWidth="1"/>
    <col min="1270" max="1270" width="8.3984375" style="1" customWidth="1"/>
    <col min="1271" max="1271" width="8.19921875" style="1" customWidth="1"/>
    <col min="1272" max="1272" width="5.59765625" style="1" customWidth="1"/>
    <col min="1273" max="1274" width="8.3984375" style="1" customWidth="1"/>
    <col min="1275" max="1275" width="11.09765625" style="1" customWidth="1"/>
    <col min="1276" max="1276" width="11.59765625" style="1" customWidth="1"/>
    <col min="1277" max="1523" width="9" style="1" customWidth="1"/>
    <col min="1524" max="1524" width="13.8984375" style="1" customWidth="1"/>
    <col min="1525" max="1525" width="9.8984375" style="1" customWidth="1"/>
    <col min="1526" max="1526" width="8.3984375" style="1" customWidth="1"/>
    <col min="1527" max="1527" width="8.19921875" style="1" customWidth="1"/>
    <col min="1528" max="1528" width="5.59765625" style="1" customWidth="1"/>
    <col min="1529" max="1530" width="8.3984375" style="1" customWidth="1"/>
    <col min="1531" max="1531" width="11.09765625" style="1" customWidth="1"/>
    <col min="1532" max="1532" width="11.59765625" style="1" customWidth="1"/>
    <col min="1533" max="1779" width="9" style="1" customWidth="1"/>
    <col min="1780" max="1780" width="13.8984375" style="1" customWidth="1"/>
    <col min="1781" max="1781" width="9.8984375" style="1" customWidth="1"/>
    <col min="1782" max="1782" width="8.3984375" style="1" customWidth="1"/>
    <col min="1783" max="1783" width="8.19921875" style="1" customWidth="1"/>
    <col min="1784" max="1784" width="5.59765625" style="1" customWidth="1"/>
    <col min="1785" max="1786" width="8.3984375" style="1" customWidth="1"/>
    <col min="1787" max="1787" width="11.09765625" style="1" customWidth="1"/>
    <col min="1788" max="1788" width="11.59765625" style="1" customWidth="1"/>
    <col min="1789" max="2035" width="9" style="1" customWidth="1"/>
    <col min="2036" max="2036" width="13.8984375" style="1" customWidth="1"/>
    <col min="2037" max="2037" width="9.8984375" style="1" customWidth="1"/>
    <col min="2038" max="2038" width="8.3984375" style="1" customWidth="1"/>
    <col min="2039" max="2039" width="8.19921875" style="1" customWidth="1"/>
    <col min="2040" max="2040" width="5.59765625" style="1" customWidth="1"/>
    <col min="2041" max="2042" width="8.3984375" style="1" customWidth="1"/>
    <col min="2043" max="2043" width="11.09765625" style="1" customWidth="1"/>
    <col min="2044" max="2044" width="11.59765625" style="1" customWidth="1"/>
    <col min="2045" max="2291" width="9" style="1" customWidth="1"/>
    <col min="2292" max="2292" width="13.8984375" style="1" customWidth="1"/>
    <col min="2293" max="2293" width="9.8984375" style="1" customWidth="1"/>
    <col min="2294" max="2294" width="8.3984375" style="1" customWidth="1"/>
    <col min="2295" max="2295" width="8.19921875" style="1" customWidth="1"/>
    <col min="2296" max="2296" width="5.59765625" style="1" customWidth="1"/>
    <col min="2297" max="2298" width="8.3984375" style="1" customWidth="1"/>
    <col min="2299" max="2299" width="11.09765625" style="1" customWidth="1"/>
    <col min="2300" max="2300" width="11.59765625" style="1" customWidth="1"/>
    <col min="2301" max="2547" width="9" style="1" customWidth="1"/>
    <col min="2548" max="2548" width="13.8984375" style="1" customWidth="1"/>
    <col min="2549" max="2549" width="9.8984375" style="1" customWidth="1"/>
    <col min="2550" max="2550" width="8.3984375" style="1" customWidth="1"/>
    <col min="2551" max="2551" width="8.19921875" style="1" customWidth="1"/>
    <col min="2552" max="2552" width="5.59765625" style="1" customWidth="1"/>
    <col min="2553" max="2554" width="8.3984375" style="1" customWidth="1"/>
    <col min="2555" max="2555" width="11.09765625" style="1" customWidth="1"/>
    <col min="2556" max="2556" width="11.59765625" style="1" customWidth="1"/>
    <col min="2557" max="2803" width="9" style="1" customWidth="1"/>
    <col min="2804" max="2804" width="13.8984375" style="1" customWidth="1"/>
    <col min="2805" max="2805" width="9.8984375" style="1" customWidth="1"/>
    <col min="2806" max="2806" width="8.3984375" style="1" customWidth="1"/>
    <col min="2807" max="2807" width="8.19921875" style="1" customWidth="1"/>
    <col min="2808" max="2808" width="5.59765625" style="1" customWidth="1"/>
    <col min="2809" max="2810" width="8.3984375" style="1" customWidth="1"/>
    <col min="2811" max="2811" width="11.09765625" style="1" customWidth="1"/>
    <col min="2812" max="2812" width="11.59765625" style="1" customWidth="1"/>
    <col min="2813" max="3059" width="9" style="1" customWidth="1"/>
    <col min="3060" max="3060" width="13.8984375" style="1" customWidth="1"/>
    <col min="3061" max="3061" width="9.8984375" style="1" customWidth="1"/>
    <col min="3062" max="3062" width="8.3984375" style="1" customWidth="1"/>
    <col min="3063" max="3063" width="8.19921875" style="1" customWidth="1"/>
    <col min="3064" max="3064" width="5.59765625" style="1" customWidth="1"/>
    <col min="3065" max="3066" width="8.3984375" style="1" customWidth="1"/>
    <col min="3067" max="3067" width="11.09765625" style="1" customWidth="1"/>
    <col min="3068" max="3068" width="11.59765625" style="1" customWidth="1"/>
    <col min="3069" max="3315" width="9" style="1" customWidth="1"/>
    <col min="3316" max="3316" width="13.8984375" style="1" customWidth="1"/>
    <col min="3317" max="3317" width="9.8984375" style="1" customWidth="1"/>
    <col min="3318" max="3318" width="8.3984375" style="1" customWidth="1"/>
    <col min="3319" max="3319" width="8.19921875" style="1" customWidth="1"/>
    <col min="3320" max="3320" width="5.59765625" style="1" customWidth="1"/>
    <col min="3321" max="3322" width="8.3984375" style="1" customWidth="1"/>
    <col min="3323" max="3323" width="11.09765625" style="1" customWidth="1"/>
    <col min="3324" max="3324" width="11.59765625" style="1" customWidth="1"/>
    <col min="3325" max="3571" width="9" style="1" customWidth="1"/>
    <col min="3572" max="3572" width="13.8984375" style="1" customWidth="1"/>
    <col min="3573" max="3573" width="9.8984375" style="1" customWidth="1"/>
    <col min="3574" max="3574" width="8.3984375" style="1" customWidth="1"/>
    <col min="3575" max="3575" width="8.19921875" style="1" customWidth="1"/>
    <col min="3576" max="3576" width="5.59765625" style="1" customWidth="1"/>
    <col min="3577" max="3578" width="8.3984375" style="1" customWidth="1"/>
    <col min="3579" max="3579" width="11.09765625" style="1" customWidth="1"/>
    <col min="3580" max="3580" width="11.59765625" style="1" customWidth="1"/>
    <col min="3581" max="3827" width="9" style="1" customWidth="1"/>
    <col min="3828" max="3828" width="13.8984375" style="1" customWidth="1"/>
    <col min="3829" max="3829" width="9.8984375" style="1" customWidth="1"/>
    <col min="3830" max="3830" width="8.3984375" style="1" customWidth="1"/>
    <col min="3831" max="3831" width="8.19921875" style="1" customWidth="1"/>
    <col min="3832" max="3832" width="5.59765625" style="1" customWidth="1"/>
    <col min="3833" max="3834" width="8.3984375" style="1" customWidth="1"/>
    <col min="3835" max="3835" width="11.09765625" style="1" customWidth="1"/>
    <col min="3836" max="3836" width="11.59765625" style="1" customWidth="1"/>
    <col min="3837" max="4083" width="9" style="1" customWidth="1"/>
    <col min="4084" max="4084" width="13.8984375" style="1" customWidth="1"/>
    <col min="4085" max="4085" width="9.8984375" style="1" customWidth="1"/>
    <col min="4086" max="4086" width="8.3984375" style="1" customWidth="1"/>
    <col min="4087" max="4087" width="8.19921875" style="1" customWidth="1"/>
    <col min="4088" max="4088" width="5.59765625" style="1" customWidth="1"/>
    <col min="4089" max="4090" width="8.3984375" style="1" customWidth="1"/>
    <col min="4091" max="4091" width="11.09765625" style="1" customWidth="1"/>
    <col min="4092" max="4092" width="11.59765625" style="1" customWidth="1"/>
    <col min="4093" max="4339" width="9" style="1" customWidth="1"/>
    <col min="4340" max="4340" width="13.8984375" style="1" customWidth="1"/>
    <col min="4341" max="4341" width="9.8984375" style="1" customWidth="1"/>
    <col min="4342" max="4342" width="8.3984375" style="1" customWidth="1"/>
    <col min="4343" max="4343" width="8.19921875" style="1" customWidth="1"/>
    <col min="4344" max="4344" width="5.59765625" style="1" customWidth="1"/>
    <col min="4345" max="4346" width="8.3984375" style="1" customWidth="1"/>
    <col min="4347" max="4347" width="11.09765625" style="1" customWidth="1"/>
    <col min="4348" max="4348" width="11.59765625" style="1" customWidth="1"/>
    <col min="4349" max="4595" width="9" style="1" customWidth="1"/>
    <col min="4596" max="4596" width="13.8984375" style="1" customWidth="1"/>
    <col min="4597" max="4597" width="9.8984375" style="1" customWidth="1"/>
    <col min="4598" max="4598" width="8.3984375" style="1" customWidth="1"/>
    <col min="4599" max="4599" width="8.19921875" style="1" customWidth="1"/>
    <col min="4600" max="4600" width="5.59765625" style="1" customWidth="1"/>
    <col min="4601" max="4602" width="8.3984375" style="1" customWidth="1"/>
    <col min="4603" max="4603" width="11.09765625" style="1" customWidth="1"/>
    <col min="4604" max="4604" width="11.59765625" style="1" customWidth="1"/>
    <col min="4605" max="4851" width="9" style="1" customWidth="1"/>
    <col min="4852" max="4852" width="13.8984375" style="1" customWidth="1"/>
    <col min="4853" max="4853" width="9.8984375" style="1" customWidth="1"/>
    <col min="4854" max="4854" width="8.3984375" style="1" customWidth="1"/>
    <col min="4855" max="4855" width="8.19921875" style="1" customWidth="1"/>
    <col min="4856" max="4856" width="5.59765625" style="1" customWidth="1"/>
    <col min="4857" max="4858" width="8.3984375" style="1" customWidth="1"/>
    <col min="4859" max="4859" width="11.09765625" style="1" customWidth="1"/>
    <col min="4860" max="4860" width="11.59765625" style="1" customWidth="1"/>
    <col min="4861" max="5107" width="9" style="1" customWidth="1"/>
    <col min="5108" max="5108" width="13.8984375" style="1" customWidth="1"/>
    <col min="5109" max="5109" width="9.8984375" style="1" customWidth="1"/>
    <col min="5110" max="5110" width="8.3984375" style="1" customWidth="1"/>
    <col min="5111" max="5111" width="8.19921875" style="1" customWidth="1"/>
    <col min="5112" max="5112" width="5.59765625" style="1" customWidth="1"/>
    <col min="5113" max="5114" width="8.3984375" style="1" customWidth="1"/>
    <col min="5115" max="5115" width="11.09765625" style="1" customWidth="1"/>
    <col min="5116" max="5116" width="11.59765625" style="1" customWidth="1"/>
    <col min="5117" max="5363" width="9" style="1" customWidth="1"/>
    <col min="5364" max="5364" width="13.8984375" style="1" customWidth="1"/>
    <col min="5365" max="5365" width="9.8984375" style="1" customWidth="1"/>
    <col min="5366" max="5366" width="8.3984375" style="1" customWidth="1"/>
    <col min="5367" max="5367" width="8.19921875" style="1" customWidth="1"/>
    <col min="5368" max="5368" width="5.59765625" style="1" customWidth="1"/>
    <col min="5369" max="5370" width="8.3984375" style="1" customWidth="1"/>
    <col min="5371" max="5371" width="11.09765625" style="1" customWidth="1"/>
    <col min="5372" max="5372" width="11.59765625" style="1" customWidth="1"/>
    <col min="5373" max="5619" width="9" style="1" customWidth="1"/>
    <col min="5620" max="5620" width="13.8984375" style="1" customWidth="1"/>
    <col min="5621" max="5621" width="9.8984375" style="1" customWidth="1"/>
    <col min="5622" max="5622" width="8.3984375" style="1" customWidth="1"/>
    <col min="5623" max="5623" width="8.19921875" style="1" customWidth="1"/>
    <col min="5624" max="5624" width="5.59765625" style="1" customWidth="1"/>
    <col min="5625" max="5626" width="8.3984375" style="1" customWidth="1"/>
    <col min="5627" max="5627" width="11.09765625" style="1" customWidth="1"/>
    <col min="5628" max="5628" width="11.59765625" style="1" customWidth="1"/>
    <col min="5629" max="5875" width="9" style="1" customWidth="1"/>
    <col min="5876" max="5876" width="13.8984375" style="1" customWidth="1"/>
    <col min="5877" max="5877" width="9.8984375" style="1" customWidth="1"/>
    <col min="5878" max="5878" width="8.3984375" style="1" customWidth="1"/>
    <col min="5879" max="5879" width="8.19921875" style="1" customWidth="1"/>
    <col min="5880" max="5880" width="5.59765625" style="1" customWidth="1"/>
    <col min="5881" max="5882" width="8.3984375" style="1" customWidth="1"/>
    <col min="5883" max="5883" width="11.09765625" style="1" customWidth="1"/>
    <col min="5884" max="5884" width="11.59765625" style="1" customWidth="1"/>
    <col min="5885" max="6131" width="9" style="1" customWidth="1"/>
    <col min="6132" max="6132" width="13.8984375" style="1" customWidth="1"/>
    <col min="6133" max="6133" width="9.8984375" style="1" customWidth="1"/>
    <col min="6134" max="6134" width="8.3984375" style="1" customWidth="1"/>
    <col min="6135" max="6135" width="8.19921875" style="1" customWidth="1"/>
    <col min="6136" max="6136" width="5.59765625" style="1" customWidth="1"/>
    <col min="6137" max="6138" width="8.3984375" style="1" customWidth="1"/>
    <col min="6139" max="6139" width="11.09765625" style="1" customWidth="1"/>
    <col min="6140" max="6140" width="11.59765625" style="1" customWidth="1"/>
    <col min="6141" max="6387" width="9" style="1" customWidth="1"/>
    <col min="6388" max="6388" width="13.8984375" style="1" customWidth="1"/>
    <col min="6389" max="6389" width="9.8984375" style="1" customWidth="1"/>
    <col min="6390" max="6390" width="8.3984375" style="1" customWidth="1"/>
    <col min="6391" max="6391" width="8.19921875" style="1" customWidth="1"/>
    <col min="6392" max="6392" width="5.59765625" style="1" customWidth="1"/>
    <col min="6393" max="6394" width="8.3984375" style="1" customWidth="1"/>
    <col min="6395" max="6395" width="11.09765625" style="1" customWidth="1"/>
    <col min="6396" max="6396" width="11.59765625" style="1" customWidth="1"/>
    <col min="6397" max="6643" width="9" style="1" customWidth="1"/>
    <col min="6644" max="6644" width="13.8984375" style="1" customWidth="1"/>
    <col min="6645" max="6645" width="9.8984375" style="1" customWidth="1"/>
    <col min="6646" max="6646" width="8.3984375" style="1" customWidth="1"/>
    <col min="6647" max="6647" width="8.19921875" style="1" customWidth="1"/>
    <col min="6648" max="6648" width="5.59765625" style="1" customWidth="1"/>
    <col min="6649" max="6650" width="8.3984375" style="1" customWidth="1"/>
    <col min="6651" max="6651" width="11.09765625" style="1" customWidth="1"/>
    <col min="6652" max="6652" width="11.59765625" style="1" customWidth="1"/>
    <col min="6653" max="6899" width="9" style="1" customWidth="1"/>
    <col min="6900" max="6900" width="13.8984375" style="1" customWidth="1"/>
    <col min="6901" max="6901" width="9.8984375" style="1" customWidth="1"/>
    <col min="6902" max="6902" width="8.3984375" style="1" customWidth="1"/>
    <col min="6903" max="6903" width="8.19921875" style="1" customWidth="1"/>
    <col min="6904" max="6904" width="5.59765625" style="1" customWidth="1"/>
    <col min="6905" max="6906" width="8.3984375" style="1" customWidth="1"/>
    <col min="6907" max="6907" width="11.09765625" style="1" customWidth="1"/>
    <col min="6908" max="6908" width="11.59765625" style="1" customWidth="1"/>
    <col min="6909" max="7155" width="9" style="1" customWidth="1"/>
    <col min="7156" max="7156" width="13.8984375" style="1" customWidth="1"/>
    <col min="7157" max="7157" width="9.8984375" style="1" customWidth="1"/>
    <col min="7158" max="7158" width="8.3984375" style="1" customWidth="1"/>
    <col min="7159" max="7159" width="8.19921875" style="1" customWidth="1"/>
    <col min="7160" max="7160" width="5.59765625" style="1" customWidth="1"/>
    <col min="7161" max="7162" width="8.3984375" style="1" customWidth="1"/>
    <col min="7163" max="7163" width="11.09765625" style="1" customWidth="1"/>
    <col min="7164" max="7164" width="11.59765625" style="1" customWidth="1"/>
    <col min="7165" max="7411" width="9" style="1" customWidth="1"/>
    <col min="7412" max="7412" width="13.8984375" style="1" customWidth="1"/>
    <col min="7413" max="7413" width="9.8984375" style="1" customWidth="1"/>
    <col min="7414" max="7414" width="8.3984375" style="1" customWidth="1"/>
    <col min="7415" max="7415" width="8.19921875" style="1" customWidth="1"/>
    <col min="7416" max="7416" width="5.59765625" style="1" customWidth="1"/>
    <col min="7417" max="7418" width="8.3984375" style="1" customWidth="1"/>
    <col min="7419" max="7419" width="11.09765625" style="1" customWidth="1"/>
    <col min="7420" max="7420" width="11.59765625" style="1" customWidth="1"/>
    <col min="7421" max="7667" width="9" style="1" customWidth="1"/>
    <col min="7668" max="7668" width="13.8984375" style="1" customWidth="1"/>
    <col min="7669" max="7669" width="9.8984375" style="1" customWidth="1"/>
    <col min="7670" max="7670" width="8.3984375" style="1" customWidth="1"/>
    <col min="7671" max="7671" width="8.19921875" style="1" customWidth="1"/>
    <col min="7672" max="7672" width="5.59765625" style="1" customWidth="1"/>
    <col min="7673" max="7674" width="8.3984375" style="1" customWidth="1"/>
    <col min="7675" max="7675" width="11.09765625" style="1" customWidth="1"/>
    <col min="7676" max="7676" width="11.59765625" style="1" customWidth="1"/>
    <col min="7677" max="7923" width="9" style="1" customWidth="1"/>
    <col min="7924" max="7924" width="13.8984375" style="1" customWidth="1"/>
    <col min="7925" max="7925" width="9.8984375" style="1" customWidth="1"/>
    <col min="7926" max="7926" width="8.3984375" style="1" customWidth="1"/>
    <col min="7927" max="7927" width="8.19921875" style="1" customWidth="1"/>
    <col min="7928" max="7928" width="5.59765625" style="1" customWidth="1"/>
    <col min="7929" max="7930" width="8.3984375" style="1" customWidth="1"/>
    <col min="7931" max="7931" width="11.09765625" style="1" customWidth="1"/>
    <col min="7932" max="7932" width="11.59765625" style="1" customWidth="1"/>
    <col min="7933" max="8179" width="9" style="1" customWidth="1"/>
    <col min="8180" max="8180" width="13.8984375" style="1" customWidth="1"/>
    <col min="8181" max="8181" width="9.8984375" style="1" customWidth="1"/>
    <col min="8182" max="8182" width="8.3984375" style="1" customWidth="1"/>
    <col min="8183" max="8183" width="8.19921875" style="1" customWidth="1"/>
    <col min="8184" max="8184" width="5.59765625" style="1" customWidth="1"/>
    <col min="8185" max="8186" width="8.3984375" style="1" customWidth="1"/>
    <col min="8187" max="8187" width="11.09765625" style="1" customWidth="1"/>
    <col min="8188" max="8188" width="11.59765625" style="1" customWidth="1"/>
    <col min="8189" max="8435" width="9" style="1" customWidth="1"/>
    <col min="8436" max="8436" width="13.8984375" style="1" customWidth="1"/>
    <col min="8437" max="8437" width="9.8984375" style="1" customWidth="1"/>
    <col min="8438" max="8438" width="8.3984375" style="1" customWidth="1"/>
    <col min="8439" max="8439" width="8.19921875" style="1" customWidth="1"/>
    <col min="8440" max="8440" width="5.59765625" style="1" customWidth="1"/>
    <col min="8441" max="8442" width="8.3984375" style="1" customWidth="1"/>
    <col min="8443" max="8443" width="11.09765625" style="1" customWidth="1"/>
    <col min="8444" max="8444" width="11.59765625" style="1" customWidth="1"/>
    <col min="8445" max="8691" width="9" style="1" customWidth="1"/>
    <col min="8692" max="8692" width="13.8984375" style="1" customWidth="1"/>
    <col min="8693" max="8693" width="9.8984375" style="1" customWidth="1"/>
    <col min="8694" max="8694" width="8.3984375" style="1" customWidth="1"/>
    <col min="8695" max="8695" width="8.19921875" style="1" customWidth="1"/>
    <col min="8696" max="8696" width="5.59765625" style="1" customWidth="1"/>
    <col min="8697" max="8698" width="8.3984375" style="1" customWidth="1"/>
    <col min="8699" max="8699" width="11.09765625" style="1" customWidth="1"/>
    <col min="8700" max="8700" width="11.59765625" style="1" customWidth="1"/>
    <col min="8701" max="8947" width="9" style="1" customWidth="1"/>
    <col min="8948" max="8948" width="13.8984375" style="1" customWidth="1"/>
    <col min="8949" max="8949" width="9.8984375" style="1" customWidth="1"/>
    <col min="8950" max="8950" width="8.3984375" style="1" customWidth="1"/>
    <col min="8951" max="8951" width="8.19921875" style="1" customWidth="1"/>
    <col min="8952" max="8952" width="5.59765625" style="1" customWidth="1"/>
    <col min="8953" max="8954" width="8.3984375" style="1" customWidth="1"/>
    <col min="8955" max="8955" width="11.09765625" style="1" customWidth="1"/>
    <col min="8956" max="8956" width="11.59765625" style="1" customWidth="1"/>
    <col min="8957" max="9203" width="9" style="1" customWidth="1"/>
    <col min="9204" max="9204" width="13.8984375" style="1" customWidth="1"/>
    <col min="9205" max="9205" width="9.8984375" style="1" customWidth="1"/>
    <col min="9206" max="9206" width="8.3984375" style="1" customWidth="1"/>
    <col min="9207" max="9207" width="8.19921875" style="1" customWidth="1"/>
    <col min="9208" max="9208" width="5.59765625" style="1" customWidth="1"/>
    <col min="9209" max="9210" width="8.3984375" style="1" customWidth="1"/>
    <col min="9211" max="9211" width="11.09765625" style="1" customWidth="1"/>
    <col min="9212" max="9212" width="11.59765625" style="1" customWidth="1"/>
    <col min="9213" max="9459" width="9" style="1" customWidth="1"/>
    <col min="9460" max="9460" width="13.8984375" style="1" customWidth="1"/>
    <col min="9461" max="9461" width="9.8984375" style="1" customWidth="1"/>
    <col min="9462" max="9462" width="8.3984375" style="1" customWidth="1"/>
    <col min="9463" max="9463" width="8.19921875" style="1" customWidth="1"/>
    <col min="9464" max="9464" width="5.59765625" style="1" customWidth="1"/>
    <col min="9465" max="9466" width="8.3984375" style="1" customWidth="1"/>
    <col min="9467" max="9467" width="11.09765625" style="1" customWidth="1"/>
    <col min="9468" max="9468" width="11.59765625" style="1" customWidth="1"/>
    <col min="9469" max="9715" width="9" style="1" customWidth="1"/>
    <col min="9716" max="9716" width="13.8984375" style="1" customWidth="1"/>
    <col min="9717" max="9717" width="9.8984375" style="1" customWidth="1"/>
    <col min="9718" max="9718" width="8.3984375" style="1" customWidth="1"/>
    <col min="9719" max="9719" width="8.19921875" style="1" customWidth="1"/>
    <col min="9720" max="9720" width="5.59765625" style="1" customWidth="1"/>
    <col min="9721" max="9722" width="8.3984375" style="1" customWidth="1"/>
    <col min="9723" max="9723" width="11.09765625" style="1" customWidth="1"/>
    <col min="9724" max="9724" width="11.59765625" style="1" customWidth="1"/>
    <col min="9725" max="9971" width="9" style="1" customWidth="1"/>
    <col min="9972" max="9972" width="13.8984375" style="1" customWidth="1"/>
    <col min="9973" max="9973" width="9.8984375" style="1" customWidth="1"/>
    <col min="9974" max="9974" width="8.3984375" style="1" customWidth="1"/>
    <col min="9975" max="9975" width="8.19921875" style="1" customWidth="1"/>
    <col min="9976" max="9976" width="5.59765625" style="1" customWidth="1"/>
    <col min="9977" max="9978" width="8.3984375" style="1" customWidth="1"/>
    <col min="9979" max="9979" width="11.09765625" style="1" customWidth="1"/>
    <col min="9980" max="9980" width="11.59765625" style="1" customWidth="1"/>
    <col min="9981" max="10227" width="9" style="1" customWidth="1"/>
    <col min="10228" max="10228" width="13.8984375" style="1" customWidth="1"/>
    <col min="10229" max="10229" width="9.8984375" style="1" customWidth="1"/>
    <col min="10230" max="10230" width="8.3984375" style="1" customWidth="1"/>
    <col min="10231" max="10231" width="8.19921875" style="1" customWidth="1"/>
    <col min="10232" max="10232" width="5.59765625" style="1" customWidth="1"/>
    <col min="10233" max="10234" width="8.3984375" style="1" customWidth="1"/>
    <col min="10235" max="10235" width="11.09765625" style="1" customWidth="1"/>
    <col min="10236" max="10236" width="11.59765625" style="1" customWidth="1"/>
    <col min="10237" max="10483" width="9" style="1" customWidth="1"/>
    <col min="10484" max="10484" width="13.8984375" style="1" customWidth="1"/>
    <col min="10485" max="10485" width="9.8984375" style="1" customWidth="1"/>
    <col min="10486" max="10486" width="8.3984375" style="1" customWidth="1"/>
    <col min="10487" max="10487" width="8.19921875" style="1" customWidth="1"/>
    <col min="10488" max="10488" width="5.59765625" style="1" customWidth="1"/>
    <col min="10489" max="10490" width="8.3984375" style="1" customWidth="1"/>
    <col min="10491" max="10491" width="11.09765625" style="1" customWidth="1"/>
    <col min="10492" max="10492" width="11.59765625" style="1" customWidth="1"/>
    <col min="10493" max="10739" width="9" style="1" customWidth="1"/>
    <col min="10740" max="10740" width="13.8984375" style="1" customWidth="1"/>
    <col min="10741" max="10741" width="9.8984375" style="1" customWidth="1"/>
    <col min="10742" max="10742" width="8.3984375" style="1" customWidth="1"/>
    <col min="10743" max="10743" width="8.19921875" style="1" customWidth="1"/>
    <col min="10744" max="10744" width="5.59765625" style="1" customWidth="1"/>
    <col min="10745" max="10746" width="8.3984375" style="1" customWidth="1"/>
    <col min="10747" max="10747" width="11.09765625" style="1" customWidth="1"/>
    <col min="10748" max="10748" width="11.59765625" style="1" customWidth="1"/>
    <col min="10749" max="10995" width="9" style="1" customWidth="1"/>
    <col min="10996" max="10996" width="13.8984375" style="1" customWidth="1"/>
    <col min="10997" max="10997" width="9.8984375" style="1" customWidth="1"/>
    <col min="10998" max="10998" width="8.3984375" style="1" customWidth="1"/>
    <col min="10999" max="10999" width="8.19921875" style="1" customWidth="1"/>
    <col min="11000" max="11000" width="5.59765625" style="1" customWidth="1"/>
    <col min="11001" max="11002" width="8.3984375" style="1" customWidth="1"/>
    <col min="11003" max="11003" width="11.09765625" style="1" customWidth="1"/>
    <col min="11004" max="11004" width="11.59765625" style="1" customWidth="1"/>
    <col min="11005" max="11251" width="9" style="1" customWidth="1"/>
    <col min="11252" max="11252" width="13.8984375" style="1" customWidth="1"/>
    <col min="11253" max="11253" width="9.8984375" style="1" customWidth="1"/>
    <col min="11254" max="11254" width="8.3984375" style="1" customWidth="1"/>
    <col min="11255" max="11255" width="8.19921875" style="1" customWidth="1"/>
    <col min="11256" max="11256" width="5.59765625" style="1" customWidth="1"/>
    <col min="11257" max="11258" width="8.3984375" style="1" customWidth="1"/>
    <col min="11259" max="11259" width="11.09765625" style="1" customWidth="1"/>
    <col min="11260" max="11260" width="11.59765625" style="1" customWidth="1"/>
    <col min="11261" max="11507" width="9" style="1" customWidth="1"/>
    <col min="11508" max="11508" width="13.8984375" style="1" customWidth="1"/>
    <col min="11509" max="11509" width="9.8984375" style="1" customWidth="1"/>
    <col min="11510" max="11510" width="8.3984375" style="1" customWidth="1"/>
    <col min="11511" max="11511" width="8.19921875" style="1" customWidth="1"/>
    <col min="11512" max="11512" width="5.59765625" style="1" customWidth="1"/>
    <col min="11513" max="11514" width="8.3984375" style="1" customWidth="1"/>
    <col min="11515" max="11515" width="11.09765625" style="1" customWidth="1"/>
    <col min="11516" max="11516" width="11.59765625" style="1" customWidth="1"/>
    <col min="11517" max="11763" width="9" style="1" customWidth="1"/>
    <col min="11764" max="11764" width="13.8984375" style="1" customWidth="1"/>
    <col min="11765" max="11765" width="9.8984375" style="1" customWidth="1"/>
    <col min="11766" max="11766" width="8.3984375" style="1" customWidth="1"/>
    <col min="11767" max="11767" width="8.19921875" style="1" customWidth="1"/>
    <col min="11768" max="11768" width="5.59765625" style="1" customWidth="1"/>
    <col min="11769" max="11770" width="8.3984375" style="1" customWidth="1"/>
    <col min="11771" max="11771" width="11.09765625" style="1" customWidth="1"/>
    <col min="11772" max="11772" width="11.59765625" style="1" customWidth="1"/>
    <col min="11773" max="12019" width="9" style="1" customWidth="1"/>
    <col min="12020" max="12020" width="13.8984375" style="1" customWidth="1"/>
    <col min="12021" max="12021" width="9.8984375" style="1" customWidth="1"/>
    <col min="12022" max="12022" width="8.3984375" style="1" customWidth="1"/>
    <col min="12023" max="12023" width="8.19921875" style="1" customWidth="1"/>
    <col min="12024" max="12024" width="5.59765625" style="1" customWidth="1"/>
    <col min="12025" max="12026" width="8.3984375" style="1" customWidth="1"/>
    <col min="12027" max="12027" width="11.09765625" style="1" customWidth="1"/>
    <col min="12028" max="12028" width="11.59765625" style="1" customWidth="1"/>
    <col min="12029" max="12275" width="9" style="1" customWidth="1"/>
    <col min="12276" max="12276" width="13.8984375" style="1" customWidth="1"/>
    <col min="12277" max="12277" width="9.8984375" style="1" customWidth="1"/>
    <col min="12278" max="12278" width="8.3984375" style="1" customWidth="1"/>
    <col min="12279" max="12279" width="8.19921875" style="1" customWidth="1"/>
    <col min="12280" max="12280" width="5.59765625" style="1" customWidth="1"/>
    <col min="12281" max="12282" width="8.3984375" style="1" customWidth="1"/>
    <col min="12283" max="12283" width="11.09765625" style="1" customWidth="1"/>
    <col min="12284" max="12284" width="11.59765625" style="1" customWidth="1"/>
    <col min="12285" max="12531" width="9" style="1" customWidth="1"/>
    <col min="12532" max="12532" width="13.8984375" style="1" customWidth="1"/>
    <col min="12533" max="12533" width="9.8984375" style="1" customWidth="1"/>
    <col min="12534" max="12534" width="8.3984375" style="1" customWidth="1"/>
    <col min="12535" max="12535" width="8.19921875" style="1" customWidth="1"/>
    <col min="12536" max="12536" width="5.59765625" style="1" customWidth="1"/>
    <col min="12537" max="12538" width="8.3984375" style="1" customWidth="1"/>
    <col min="12539" max="12539" width="11.09765625" style="1" customWidth="1"/>
    <col min="12540" max="12540" width="11.59765625" style="1" customWidth="1"/>
    <col min="12541" max="12787" width="9" style="1" customWidth="1"/>
    <col min="12788" max="12788" width="13.8984375" style="1" customWidth="1"/>
    <col min="12789" max="12789" width="9.8984375" style="1" customWidth="1"/>
    <col min="12790" max="12790" width="8.3984375" style="1" customWidth="1"/>
    <col min="12791" max="12791" width="8.19921875" style="1" customWidth="1"/>
    <col min="12792" max="12792" width="5.59765625" style="1" customWidth="1"/>
    <col min="12793" max="12794" width="8.3984375" style="1" customWidth="1"/>
    <col min="12795" max="12795" width="11.09765625" style="1" customWidth="1"/>
    <col min="12796" max="12796" width="11.59765625" style="1" customWidth="1"/>
    <col min="12797" max="13043" width="9" style="1" customWidth="1"/>
    <col min="13044" max="13044" width="13.8984375" style="1" customWidth="1"/>
    <col min="13045" max="13045" width="9.8984375" style="1" customWidth="1"/>
    <col min="13046" max="13046" width="8.3984375" style="1" customWidth="1"/>
    <col min="13047" max="13047" width="8.19921875" style="1" customWidth="1"/>
    <col min="13048" max="13048" width="5.59765625" style="1" customWidth="1"/>
    <col min="13049" max="13050" width="8.3984375" style="1" customWidth="1"/>
    <col min="13051" max="13051" width="11.09765625" style="1" customWidth="1"/>
    <col min="13052" max="13052" width="11.59765625" style="1" customWidth="1"/>
    <col min="13053" max="13299" width="9" style="1" customWidth="1"/>
    <col min="13300" max="13300" width="13.8984375" style="1" customWidth="1"/>
    <col min="13301" max="13301" width="9.8984375" style="1" customWidth="1"/>
    <col min="13302" max="13302" width="8.3984375" style="1" customWidth="1"/>
    <col min="13303" max="13303" width="8.19921875" style="1" customWidth="1"/>
    <col min="13304" max="13304" width="5.59765625" style="1" customWidth="1"/>
    <col min="13305" max="13306" width="8.3984375" style="1" customWidth="1"/>
    <col min="13307" max="13307" width="11.09765625" style="1" customWidth="1"/>
    <col min="13308" max="13308" width="11.59765625" style="1" customWidth="1"/>
    <col min="13309" max="13555" width="9" style="1" customWidth="1"/>
    <col min="13556" max="13556" width="13.8984375" style="1" customWidth="1"/>
    <col min="13557" max="13557" width="9.8984375" style="1" customWidth="1"/>
    <col min="13558" max="13558" width="8.3984375" style="1" customWidth="1"/>
    <col min="13559" max="13559" width="8.19921875" style="1" customWidth="1"/>
    <col min="13560" max="13560" width="5.59765625" style="1" customWidth="1"/>
    <col min="13561" max="13562" width="8.3984375" style="1" customWidth="1"/>
    <col min="13563" max="13563" width="11.09765625" style="1" customWidth="1"/>
    <col min="13564" max="13564" width="11.59765625" style="1" customWidth="1"/>
    <col min="13565" max="13811" width="9" style="1" customWidth="1"/>
    <col min="13812" max="13812" width="13.8984375" style="1" customWidth="1"/>
    <col min="13813" max="13813" width="9.8984375" style="1" customWidth="1"/>
    <col min="13814" max="13814" width="8.3984375" style="1" customWidth="1"/>
    <col min="13815" max="13815" width="8.19921875" style="1" customWidth="1"/>
    <col min="13816" max="13816" width="5.59765625" style="1" customWidth="1"/>
    <col min="13817" max="13818" width="8.3984375" style="1" customWidth="1"/>
    <col min="13819" max="13819" width="11.09765625" style="1" customWidth="1"/>
    <col min="13820" max="13820" width="11.59765625" style="1" customWidth="1"/>
    <col min="13821" max="14067" width="9" style="1" customWidth="1"/>
    <col min="14068" max="14068" width="13.8984375" style="1" customWidth="1"/>
    <col min="14069" max="14069" width="9.8984375" style="1" customWidth="1"/>
    <col min="14070" max="14070" width="8.3984375" style="1" customWidth="1"/>
    <col min="14071" max="14071" width="8.19921875" style="1" customWidth="1"/>
    <col min="14072" max="14072" width="5.59765625" style="1" customWidth="1"/>
    <col min="14073" max="14074" width="8.3984375" style="1" customWidth="1"/>
    <col min="14075" max="14075" width="11.09765625" style="1" customWidth="1"/>
    <col min="14076" max="14076" width="11.59765625" style="1" customWidth="1"/>
    <col min="14077" max="14323" width="9" style="1" customWidth="1"/>
    <col min="14324" max="14324" width="13.8984375" style="1" customWidth="1"/>
    <col min="14325" max="14325" width="9.8984375" style="1" customWidth="1"/>
    <col min="14326" max="14326" width="8.3984375" style="1" customWidth="1"/>
    <col min="14327" max="14327" width="8.19921875" style="1" customWidth="1"/>
    <col min="14328" max="14328" width="5.59765625" style="1" customWidth="1"/>
    <col min="14329" max="14330" width="8.3984375" style="1" customWidth="1"/>
    <col min="14331" max="14331" width="11.09765625" style="1" customWidth="1"/>
    <col min="14332" max="14332" width="11.59765625" style="1" customWidth="1"/>
    <col min="14333" max="14579" width="9" style="1" customWidth="1"/>
    <col min="14580" max="14580" width="13.8984375" style="1" customWidth="1"/>
    <col min="14581" max="14581" width="9.8984375" style="1" customWidth="1"/>
    <col min="14582" max="14582" width="8.3984375" style="1" customWidth="1"/>
    <col min="14583" max="14583" width="8.19921875" style="1" customWidth="1"/>
    <col min="14584" max="14584" width="5.59765625" style="1" customWidth="1"/>
    <col min="14585" max="14586" width="8.3984375" style="1" customWidth="1"/>
    <col min="14587" max="14587" width="11.09765625" style="1" customWidth="1"/>
    <col min="14588" max="14588" width="11.59765625" style="1" customWidth="1"/>
    <col min="14589" max="14835" width="9" style="1" customWidth="1"/>
    <col min="14836" max="14836" width="13.8984375" style="1" customWidth="1"/>
    <col min="14837" max="14837" width="9.8984375" style="1" customWidth="1"/>
    <col min="14838" max="14838" width="8.3984375" style="1" customWidth="1"/>
    <col min="14839" max="14839" width="8.19921875" style="1" customWidth="1"/>
    <col min="14840" max="14840" width="5.59765625" style="1" customWidth="1"/>
    <col min="14841" max="14842" width="8.3984375" style="1" customWidth="1"/>
    <col min="14843" max="14843" width="11.09765625" style="1" customWidth="1"/>
    <col min="14844" max="14844" width="11.59765625" style="1" customWidth="1"/>
    <col min="14845" max="15091" width="9" style="1" customWidth="1"/>
    <col min="15092" max="15092" width="13.8984375" style="1" customWidth="1"/>
    <col min="15093" max="15093" width="9.8984375" style="1" customWidth="1"/>
    <col min="15094" max="15094" width="8.3984375" style="1" customWidth="1"/>
    <col min="15095" max="15095" width="8.19921875" style="1" customWidth="1"/>
    <col min="15096" max="15096" width="5.59765625" style="1" customWidth="1"/>
    <col min="15097" max="15098" width="8.3984375" style="1" customWidth="1"/>
    <col min="15099" max="15099" width="11.09765625" style="1" customWidth="1"/>
    <col min="15100" max="15100" width="11.59765625" style="1" customWidth="1"/>
    <col min="15101" max="15347" width="9" style="1" customWidth="1"/>
    <col min="15348" max="15348" width="13.8984375" style="1" customWidth="1"/>
    <col min="15349" max="15349" width="9.8984375" style="1" customWidth="1"/>
    <col min="15350" max="15350" width="8.3984375" style="1" customWidth="1"/>
    <col min="15351" max="15351" width="8.19921875" style="1" customWidth="1"/>
    <col min="15352" max="15352" width="5.59765625" style="1" customWidth="1"/>
    <col min="15353" max="15354" width="8.3984375" style="1" customWidth="1"/>
    <col min="15355" max="15355" width="11.09765625" style="1" customWidth="1"/>
    <col min="15356" max="15356" width="11.59765625" style="1" customWidth="1"/>
    <col min="15357" max="15603" width="9" style="1" customWidth="1"/>
    <col min="15604" max="15604" width="13.8984375" style="1" customWidth="1"/>
    <col min="15605" max="15605" width="9.8984375" style="1" customWidth="1"/>
    <col min="15606" max="15606" width="8.3984375" style="1" customWidth="1"/>
    <col min="15607" max="15607" width="8.19921875" style="1" customWidth="1"/>
    <col min="15608" max="15608" width="5.59765625" style="1" customWidth="1"/>
    <col min="15609" max="15610" width="8.3984375" style="1" customWidth="1"/>
    <col min="15611" max="15611" width="11.09765625" style="1" customWidth="1"/>
    <col min="15612" max="15612" width="11.59765625" style="1" customWidth="1"/>
    <col min="15613" max="15859" width="9" style="1" customWidth="1"/>
    <col min="15860" max="15860" width="13.8984375" style="1" customWidth="1"/>
    <col min="15861" max="15861" width="9.8984375" style="1" customWidth="1"/>
    <col min="15862" max="15862" width="8.3984375" style="1" customWidth="1"/>
    <col min="15863" max="15863" width="8.19921875" style="1" customWidth="1"/>
    <col min="15864" max="15864" width="5.59765625" style="1" customWidth="1"/>
    <col min="15865" max="15866" width="8.3984375" style="1" customWidth="1"/>
    <col min="15867" max="15867" width="11.09765625" style="1" customWidth="1"/>
    <col min="15868" max="15868" width="11.59765625" style="1" customWidth="1"/>
    <col min="15869" max="16115" width="9" style="1" customWidth="1"/>
    <col min="16116" max="16116" width="13.8984375" style="1" customWidth="1"/>
    <col min="16117" max="16117" width="9.8984375" style="1" customWidth="1"/>
    <col min="16118" max="16118" width="8.3984375" style="1" customWidth="1"/>
    <col min="16119" max="16119" width="8.19921875" style="1" customWidth="1"/>
    <col min="16120" max="16120" width="5.59765625" style="1" customWidth="1"/>
    <col min="16121" max="16122" width="8.3984375" style="1" customWidth="1"/>
    <col min="16123" max="16123" width="11.09765625" style="1" customWidth="1"/>
    <col min="16124" max="16124" width="11.59765625" style="1" customWidth="1"/>
    <col min="16125" max="16384" width="9" style="1" customWidth="1"/>
  </cols>
  <sheetData>
    <row r="1" ht="27.9" customHeight="1" spans="1:25" s="3" customFormat="1" x14ac:dyDescent="0.25">
      <c r="A1" s="361" t="s">
        <v>25</v>
      </c>
      <c r="B1" s="361"/>
      <c r="C1" s="361"/>
      <c r="D1" s="361"/>
      <c r="E1" s="361"/>
      <c r="F1" s="361"/>
      <c r="G1" s="361"/>
      <c r="H1" s="361"/>
      <c r="I1" s="361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8" customHeight="1" spans="1:25" s="3" customFormat="1" x14ac:dyDescent="0.25">
      <c r="A2" s="265" t="s">
        <v>26</v>
      </c>
      <c r="B2" s="265"/>
      <c r="C2" s="265"/>
      <c r="D2" s="265"/>
      <c r="E2" s="265"/>
      <c r="F2" s="265"/>
      <c r="G2" s="265"/>
      <c r="H2" s="265"/>
      <c r="I2" s="265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1.25" customHeight="1" spans="1:25" s="3" customForma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7" customHeight="1" spans="1:25" s="3" customFormat="1" x14ac:dyDescent="0.25">
      <c r="A4" s="174" t="s">
        <v>101</v>
      </c>
      <c r="B4" s="174"/>
      <c r="C4" s="174"/>
      <c r="D4" s="174"/>
      <c r="E4" s="174"/>
      <c r="F4" s="174"/>
      <c r="G4" s="174"/>
      <c r="H4" s="174"/>
      <c r="I4" s="174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s="3" customFormat="1" x14ac:dyDescent="0.25">
      <c r="A5" s="158" t="s">
        <v>102</v>
      </c>
      <c r="B5" s="158"/>
      <c r="C5" s="158"/>
      <c r="D5" s="158"/>
      <c r="E5" s="158"/>
      <c r="F5" s="158"/>
      <c r="G5" s="158"/>
      <c r="H5" s="158"/>
      <c r="I5" s="158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4.25" customHeight="1" spans="1:25" s="3" customFormat="1" x14ac:dyDescent="0.25">
      <c r="A6" s="158"/>
      <c r="B6" s="158"/>
      <c r="C6" s="158"/>
      <c r="D6" s="158"/>
      <c r="E6" s="158"/>
      <c r="F6" s="158"/>
      <c r="G6" s="158"/>
      <c r="H6" s="158"/>
      <c r="I6" s="269" t="s">
        <v>103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22.5" customHeight="1" spans="1:25" s="3" customFormat="1" x14ac:dyDescent="0.25">
      <c r="A7" s="3" t="s">
        <v>104</v>
      </c>
      <c r="B7" s="3"/>
      <c r="C7" s="3"/>
      <c r="D7" s="3" t="s">
        <v>29</v>
      </c>
      <c r="E7" s="138" t="s">
        <v>63</v>
      </c>
      <c r="F7" s="158"/>
      <c r="G7" s="269" t="s">
        <v>5</v>
      </c>
      <c r="H7" s="572">
        <v>46227</v>
      </c>
      <c r="I7" s="158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22.5" customHeight="1" spans="1:25" s="3" customFormat="1" x14ac:dyDescent="0.25">
      <c r="A8" s="3" t="s">
        <v>105</v>
      </c>
      <c r="B8" s="3"/>
      <c r="C8" s="3"/>
      <c r="D8" s="362" t="s">
        <v>7</v>
      </c>
      <c r="E8" s="138">
        <v>8</v>
      </c>
      <c r="F8" s="158"/>
      <c r="G8" s="269" t="s">
        <v>8</v>
      </c>
      <c r="H8" s="138" t="s">
        <v>106</v>
      </c>
      <c r="I8" s="158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9" customHeight="1" spans="1:25" s="3" customForma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1" customHeight="1" spans="1:25" s="168" customFormat="1" x14ac:dyDescent="0.25">
      <c r="A10" s="220" t="s">
        <v>107</v>
      </c>
      <c r="B10" s="363" t="s">
        <v>93</v>
      </c>
      <c r="C10" s="220" t="s">
        <v>89</v>
      </c>
      <c r="D10" s="204" t="s">
        <v>108</v>
      </c>
      <c r="E10" s="146"/>
      <c r="F10" s="195" t="s">
        <v>109</v>
      </c>
      <c r="G10" s="204"/>
      <c r="H10" s="195" t="s">
        <v>110</v>
      </c>
      <c r="I10" s="220" t="s">
        <v>53</v>
      </c>
      <c r="J10" s="168"/>
      <c r="K10" s="168"/>
      <c r="L10" s="168"/>
      <c r="M10" s="168"/>
      <c r="N10" s="168"/>
      <c r="O10" s="168"/>
      <c r="P10" s="168"/>
      <c r="Q10" s="168"/>
      <c r="R10" s="168"/>
      <c r="S10" s="168"/>
      <c r="T10" s="168"/>
      <c r="U10" s="168"/>
      <c r="V10" s="168"/>
      <c r="W10" s="168"/>
      <c r="X10" s="168"/>
      <c r="Y10" s="168"/>
    </row>
    <row r="11" ht="21" customHeight="1" spans="1:25" s="168" customFormat="1" x14ac:dyDescent="0.25">
      <c r="A11" s="27"/>
      <c r="B11" s="364"/>
      <c r="C11" s="27"/>
      <c r="D11" s="365" t="s">
        <v>111</v>
      </c>
      <c r="E11" s="366"/>
      <c r="F11" s="367" t="s">
        <v>112</v>
      </c>
      <c r="G11" s="365" t="s">
        <v>113</v>
      </c>
      <c r="H11" s="368" t="s">
        <v>114</v>
      </c>
      <c r="I11" s="27"/>
      <c r="J11" s="168"/>
      <c r="K11" s="168"/>
      <c r="L11" s="168"/>
      <c r="M11" s="168"/>
      <c r="N11" s="168"/>
      <c r="O11" s="168"/>
      <c r="P11" s="168"/>
      <c r="Q11" s="168"/>
      <c r="R11" s="168"/>
      <c r="S11" s="168"/>
      <c r="T11" s="168"/>
      <c r="U11" s="168"/>
      <c r="V11" s="168"/>
      <c r="W11" s="168"/>
      <c r="X11" s="168"/>
      <c r="Y11" s="168"/>
    </row>
    <row r="12" ht="19.95" customHeight="1" spans="1:25" s="35" customFormat="1" x14ac:dyDescent="0.25">
      <c r="A12" s="369"/>
      <c r="B12" s="370"/>
      <c r="C12" s="371"/>
      <c r="D12" s="189"/>
      <c r="E12" s="189"/>
      <c r="F12" s="372"/>
      <c r="G12" s="372"/>
      <c r="H12" s="373"/>
      <c r="I12" s="374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</row>
    <row r="13" ht="19.95" customHeight="1" spans="1:25" s="35" customFormat="1" x14ac:dyDescent="0.25">
      <c r="A13" s="375"/>
      <c r="B13" s="371"/>
      <c r="C13" s="371"/>
      <c r="D13" s="195"/>
      <c r="E13" s="195"/>
      <c r="F13" s="376"/>
      <c r="G13" s="376"/>
      <c r="H13" s="377"/>
      <c r="I13" s="374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</row>
    <row r="14" ht="19.95" customHeight="1" spans="1:25" s="35" customFormat="1" x14ac:dyDescent="0.25">
      <c r="A14" s="195"/>
      <c r="B14" s="371"/>
      <c r="C14" s="371"/>
      <c r="D14" s="195"/>
      <c r="E14" s="195"/>
      <c r="F14" s="376"/>
      <c r="G14" s="376"/>
      <c r="H14" s="377"/>
      <c r="I14" s="19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</row>
    <row r="15" ht="19.95" customHeight="1" spans="1:25" s="35" customFormat="1" x14ac:dyDescent="0.25">
      <c r="A15" s="195"/>
      <c r="B15" s="371"/>
      <c r="C15" s="371"/>
      <c r="D15" s="195"/>
      <c r="E15" s="195"/>
      <c r="F15" s="376"/>
      <c r="G15" s="376"/>
      <c r="H15" s="377"/>
      <c r="I15" s="19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</row>
    <row r="16" ht="19.95" customHeight="1" spans="1:25" s="35" customFormat="1" x14ac:dyDescent="0.25">
      <c r="A16" s="378"/>
      <c r="B16" s="379"/>
      <c r="C16" s="379"/>
      <c r="D16" s="378"/>
      <c r="E16" s="378"/>
      <c r="F16" s="380"/>
      <c r="G16" s="380"/>
      <c r="H16" s="381"/>
      <c r="I16" s="378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</row>
    <row r="17" ht="19.95" customHeight="1" spans="1:25" s="35" customFormat="1" x14ac:dyDescent="0.25">
      <c r="A17" s="221"/>
      <c r="B17" s="382"/>
      <c r="C17" s="382"/>
      <c r="D17" s="221"/>
      <c r="E17" s="221"/>
      <c r="F17" s="383"/>
      <c r="G17" s="383"/>
      <c r="H17" s="384"/>
      <c r="I17" s="221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</row>
    <row r="18" ht="19.95" customHeight="1" spans="1:25" s="35" customFormat="1" x14ac:dyDescent="0.25">
      <c r="A18" s="195"/>
      <c r="B18" s="371"/>
      <c r="C18" s="371"/>
      <c r="D18" s="195"/>
      <c r="E18" s="195"/>
      <c r="F18" s="385"/>
      <c r="G18" s="385"/>
      <c r="H18" s="377"/>
      <c r="I18" s="19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</row>
    <row r="19" ht="19.95" customHeight="1" spans="1:25" s="35" customFormat="1" x14ac:dyDescent="0.25">
      <c r="A19" s="195"/>
      <c r="B19" s="371"/>
      <c r="C19" s="371"/>
      <c r="D19" s="195"/>
      <c r="E19" s="195"/>
      <c r="F19" s="376"/>
      <c r="G19" s="376"/>
      <c r="H19" s="377"/>
      <c r="I19" s="19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</row>
    <row r="20" ht="19.95" customHeight="1" spans="1:25" s="35" customFormat="1" x14ac:dyDescent="0.25">
      <c r="A20" s="195"/>
      <c r="B20" s="371"/>
      <c r="C20" s="371"/>
      <c r="D20" s="195"/>
      <c r="E20" s="195"/>
      <c r="F20" s="376"/>
      <c r="G20" s="376"/>
      <c r="H20" s="377"/>
      <c r="I20" s="19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</row>
    <row r="21" ht="19.95" customHeight="1" spans="1:25" s="35" customFormat="1" x14ac:dyDescent="0.25">
      <c r="A21" s="378"/>
      <c r="B21" s="379"/>
      <c r="C21" s="379"/>
      <c r="D21" s="378"/>
      <c r="E21" s="378"/>
      <c r="F21" s="380"/>
      <c r="G21" s="380"/>
      <c r="H21" s="381"/>
      <c r="I21" s="378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</row>
    <row r="22" ht="19.95" customHeight="1" spans="1:25" s="35" customFormat="1" x14ac:dyDescent="0.25">
      <c r="A22" s="23"/>
      <c r="B22" s="386"/>
      <c r="C22" s="386"/>
      <c r="D22" s="23"/>
      <c r="E22" s="23"/>
      <c r="F22" s="387"/>
      <c r="G22" s="387"/>
      <c r="H22" s="388"/>
      <c r="I22" s="23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</row>
    <row r="23" ht="19.95" customHeight="1" spans="1:25" s="35" customFormat="1" x14ac:dyDescent="0.25">
      <c r="A23" s="221"/>
      <c r="B23" s="382"/>
      <c r="C23" s="382"/>
      <c r="D23" s="221"/>
      <c r="E23" s="221"/>
      <c r="F23" s="383"/>
      <c r="G23" s="383"/>
      <c r="H23" s="384"/>
      <c r="I23" s="221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</row>
    <row r="24" ht="19.95" customHeight="1" spans="1:25" s="35" customFormat="1" x14ac:dyDescent="0.25">
      <c r="A24" s="195"/>
      <c r="B24" s="371"/>
      <c r="C24" s="371"/>
      <c r="D24" s="195"/>
      <c r="E24" s="195"/>
      <c r="F24" s="376"/>
      <c r="G24" s="376"/>
      <c r="H24" s="377"/>
      <c r="I24" s="19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</row>
    <row r="25" ht="19.95" customHeight="1" spans="1:25" s="35" customFormat="1" x14ac:dyDescent="0.25">
      <c r="A25" s="195"/>
      <c r="B25" s="371"/>
      <c r="C25" s="371"/>
      <c r="D25" s="195"/>
      <c r="E25" s="195"/>
      <c r="F25" s="376"/>
      <c r="G25" s="376"/>
      <c r="H25" s="377"/>
      <c r="I25" s="19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</row>
    <row r="26" ht="19.95" customHeight="1" spans="1:25" s="35" customFormat="1" x14ac:dyDescent="0.25">
      <c r="A26" s="378"/>
      <c r="B26" s="379"/>
      <c r="C26" s="379"/>
      <c r="D26" s="378"/>
      <c r="E26" s="378"/>
      <c r="F26" s="380"/>
      <c r="G26" s="380"/>
      <c r="H26" s="381"/>
      <c r="I26" s="378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</row>
    <row r="27" ht="19.95" customHeight="1" spans="1:25" s="35" customFormat="1" x14ac:dyDescent="0.25">
      <c r="A27" s="221"/>
      <c r="B27" s="382"/>
      <c r="C27" s="382"/>
      <c r="D27" s="221"/>
      <c r="E27" s="221"/>
      <c r="F27" s="383"/>
      <c r="G27" s="383"/>
      <c r="H27" s="384"/>
      <c r="I27" s="221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</row>
    <row r="28" ht="19.95" customHeight="1" spans="1:25" s="35" customFormat="1" x14ac:dyDescent="0.25">
      <c r="A28" s="195"/>
      <c r="B28" s="371"/>
      <c r="C28" s="371"/>
      <c r="D28" s="195"/>
      <c r="E28" s="195"/>
      <c r="F28" s="385"/>
      <c r="G28" s="385"/>
      <c r="H28" s="377"/>
      <c r="I28" s="19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ht="19.95" customHeight="1" spans="1:25" s="35" customFormat="1" x14ac:dyDescent="0.25">
      <c r="A29" s="195"/>
      <c r="B29" s="371"/>
      <c r="C29" s="371"/>
      <c r="D29" s="195"/>
      <c r="E29" s="195"/>
      <c r="F29" s="385"/>
      <c r="G29" s="385"/>
      <c r="H29" s="377"/>
      <c r="I29" s="19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</row>
    <row r="30" ht="19.95" customHeight="1" spans="1:25" s="35" customFormat="1" x14ac:dyDescent="0.25">
      <c r="A30" s="195"/>
      <c r="B30" s="371"/>
      <c r="C30" s="371"/>
      <c r="D30" s="195"/>
      <c r="E30" s="195"/>
      <c r="F30" s="376"/>
      <c r="G30" s="376"/>
      <c r="H30" s="377"/>
      <c r="I30" s="19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</row>
    <row r="31" ht="19.95" customHeight="1" spans="1:25" s="35" customFormat="1" x14ac:dyDescent="0.25">
      <c r="A31" s="378"/>
      <c r="B31" s="379"/>
      <c r="C31" s="379"/>
      <c r="D31" s="378"/>
      <c r="E31" s="378"/>
      <c r="F31" s="389"/>
      <c r="G31" s="389"/>
      <c r="H31" s="381"/>
      <c r="I31" s="378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</row>
    <row r="32" ht="19.95" customHeight="1" spans="1:25" s="35" customFormat="1" x14ac:dyDescent="0.25">
      <c r="A32" s="221"/>
      <c r="B32" s="382"/>
      <c r="C32" s="382"/>
      <c r="D32" s="221"/>
      <c r="E32" s="221"/>
      <c r="F32" s="383"/>
      <c r="G32" s="383"/>
      <c r="H32" s="384"/>
      <c r="I32" s="221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</row>
    <row r="33" ht="19.95" customHeight="1" spans="1:25" s="35" customFormat="1" x14ac:dyDescent="0.25">
      <c r="A33" s="195"/>
      <c r="B33" s="382"/>
      <c r="C33" s="371"/>
      <c r="D33" s="195"/>
      <c r="E33" s="195"/>
      <c r="F33" s="383"/>
      <c r="G33" s="383"/>
      <c r="H33" s="377"/>
      <c r="I33" s="19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</row>
    <row r="34" ht="6.9" customHeight="1" spans="1:25" s="3" customForma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" customHeight="1" spans="1:25" s="35" customFormat="1" x14ac:dyDescent="0.25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</row>
    <row r="36" ht="14.25" customHeight="1" spans="1:25" s="35" customFormat="1" x14ac:dyDescent="0.25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</row>
    <row r="37" ht="14.25" customHeight="1" spans="1:25" s="35" customFormat="1" x14ac:dyDescent="0.25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</row>
    <row r="38" ht="14.25" customHeight="1" spans="1:25" s="35" customFormat="1" x14ac:dyDescent="0.25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</row>
    <row r="39" ht="14.25" customHeight="1" spans="1:25" s="35" customFormat="1" x14ac:dyDescent="0.25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</row>
    <row r="40" ht="14.25" customHeight="1" spans="1:25" s="35" customFormat="1" x14ac:dyDescent="0.25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</row>
    <row r="41" ht="14.25" customHeight="1" spans="1:25" s="35" customFormat="1" x14ac:dyDescent="0.25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</row>
    <row r="42" ht="14.25" customHeight="1" spans="1:25" s="35" customFormat="1" x14ac:dyDescent="0.25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</row>
    <row r="43" ht="15.9" customHeight="1" spans="1:25" s="3" customForma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9" customHeight="1" spans="1:25" s="3" customForma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8" customHeight="1" spans="1:25" s="35" customFormat="1" x14ac:dyDescent="0.25">
      <c r="A45" s="172" t="s">
        <v>23</v>
      </c>
      <c r="B45" s="172"/>
      <c r="C45" s="35"/>
      <c r="D45" s="172" t="s">
        <v>115</v>
      </c>
      <c r="E45" s="172"/>
      <c r="F45" s="172"/>
      <c r="G45" s="35"/>
      <c r="H45" s="172" t="s">
        <v>24</v>
      </c>
      <c r="I45" s="172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</row>
    <row r="46" ht="27.9" customHeight="1" hidden="1" spans="1:25" s="3" customFormat="1" x14ac:dyDescent="0.25">
      <c r="A46" s="361" t="s">
        <v>25</v>
      </c>
      <c r="B46" s="361"/>
      <c r="C46" s="361"/>
      <c r="D46" s="361"/>
      <c r="E46" s="361"/>
      <c r="F46" s="361"/>
      <c r="G46" s="361"/>
      <c r="H46" s="361"/>
      <c r="I46" s="361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8" customHeight="1" hidden="1" spans="1:25" s="3" customFormat="1" x14ac:dyDescent="0.25">
      <c r="A47" s="265" t="s">
        <v>26</v>
      </c>
      <c r="B47" s="265"/>
      <c r="C47" s="265"/>
      <c r="D47" s="265"/>
      <c r="E47" s="265"/>
      <c r="F47" s="265"/>
      <c r="G47" s="265"/>
      <c r="H47" s="265"/>
      <c r="I47" s="265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1.25" customHeight="1" hidden="1" spans="1:25" s="3" customForma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27" customHeight="1" hidden="1" spans="1:25" s="3" customFormat="1" x14ac:dyDescent="0.25">
      <c r="A49" s="174" t="s">
        <v>101</v>
      </c>
      <c r="B49" s="174"/>
      <c r="C49" s="174"/>
      <c r="D49" s="174"/>
      <c r="E49" s="174"/>
      <c r="F49" s="174"/>
      <c r="G49" s="174"/>
      <c r="H49" s="174"/>
      <c r="I49" s="174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2.9" customHeight="1" hidden="1" spans="1:25" s="3" customFormat="1" x14ac:dyDescent="0.25">
      <c r="A50" s="158" t="s">
        <v>102</v>
      </c>
      <c r="B50" s="158"/>
      <c r="C50" s="158"/>
      <c r="D50" s="158"/>
      <c r="E50" s="158"/>
      <c r="F50" s="158"/>
      <c r="G50" s="158"/>
      <c r="H50" s="158"/>
      <c r="I50" s="158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4.25" customHeight="1" hidden="1" spans="1:25" s="3" customFormat="1" x14ac:dyDescent="0.25">
      <c r="A51" s="158"/>
      <c r="B51" s="158"/>
      <c r="C51" s="158"/>
      <c r="D51" s="158"/>
      <c r="E51" s="158"/>
      <c r="F51" s="158"/>
      <c r="G51" s="158"/>
      <c r="H51" s="158"/>
      <c r="I51" s="269" t="s">
        <v>116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22.5" customHeight="1" hidden="1" spans="1:25" s="3" customFormat="1" x14ac:dyDescent="0.25">
      <c r="A52" s="3" t="s">
        <v>104</v>
      </c>
      <c r="B52" s="3"/>
      <c r="C52" s="3"/>
      <c r="D52" s="3" t="s">
        <v>29</v>
      </c>
      <c r="E52" s="138" t="s">
        <v>117</v>
      </c>
      <c r="F52" s="158"/>
      <c r="G52" s="269" t="s">
        <v>5</v>
      </c>
      <c r="H52" s="572">
        <v>46063</v>
      </c>
      <c r="I52" s="158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22.5" customHeight="1" hidden="1" spans="1:25" s="3" customFormat="1" x14ac:dyDescent="0.25">
      <c r="A53" s="3" t="s">
        <v>118</v>
      </c>
      <c r="B53" s="3"/>
      <c r="C53" s="3"/>
      <c r="D53" s="362" t="s">
        <v>7</v>
      </c>
      <c r="E53" s="138">
        <v>6</v>
      </c>
      <c r="F53" s="158"/>
      <c r="G53" s="269" t="s">
        <v>8</v>
      </c>
      <c r="H53" s="138" t="s">
        <v>106</v>
      </c>
      <c r="I53" s="158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9" customHeight="1" hidden="1" spans="1:25" s="3" customForma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21" customHeight="1" hidden="1" spans="1:25" s="168" customFormat="1" x14ac:dyDescent="0.25">
      <c r="A55" s="220" t="s">
        <v>107</v>
      </c>
      <c r="B55" s="363" t="s">
        <v>93</v>
      </c>
      <c r="C55" s="220" t="s">
        <v>89</v>
      </c>
      <c r="D55" s="204" t="s">
        <v>108</v>
      </c>
      <c r="E55" s="146"/>
      <c r="F55" s="195" t="s">
        <v>109</v>
      </c>
      <c r="G55" s="204"/>
      <c r="H55" s="195" t="s">
        <v>110</v>
      </c>
      <c r="I55" s="220" t="s">
        <v>53</v>
      </c>
      <c r="J55" s="168"/>
      <c r="K55" s="168"/>
      <c r="L55" s="168"/>
      <c r="M55" s="168"/>
      <c r="N55" s="168"/>
      <c r="O55" s="168"/>
      <c r="P55" s="168"/>
      <c r="Q55" s="168"/>
      <c r="R55" s="168"/>
      <c r="S55" s="168"/>
      <c r="T55" s="168"/>
      <c r="U55" s="168"/>
      <c r="V55" s="168"/>
      <c r="W55" s="168"/>
      <c r="X55" s="168"/>
      <c r="Y55" s="168"/>
    </row>
    <row r="56" ht="21" customHeight="1" hidden="1" spans="1:25" s="168" customFormat="1" x14ac:dyDescent="0.25">
      <c r="A56" s="27"/>
      <c r="B56" s="364"/>
      <c r="C56" s="27"/>
      <c r="D56" s="365" t="s">
        <v>111</v>
      </c>
      <c r="E56" s="366"/>
      <c r="F56" s="367" t="s">
        <v>112</v>
      </c>
      <c r="G56" s="365" t="s">
        <v>113</v>
      </c>
      <c r="H56" s="368" t="s">
        <v>114</v>
      </c>
      <c r="I56" s="27"/>
      <c r="J56" s="168"/>
      <c r="K56" s="168"/>
      <c r="L56" s="168"/>
      <c r="M56" s="168"/>
      <c r="N56" s="168"/>
      <c r="O56" s="168"/>
      <c r="P56" s="168"/>
      <c r="Q56" s="168"/>
      <c r="R56" s="168"/>
      <c r="S56" s="168"/>
      <c r="T56" s="168"/>
      <c r="U56" s="168"/>
      <c r="V56" s="168"/>
      <c r="W56" s="168"/>
      <c r="X56" s="168"/>
      <c r="Y56" s="168"/>
    </row>
    <row r="57" ht="21" customHeight="1" hidden="1" spans="1:25" s="35" customFormat="1" x14ac:dyDescent="0.25">
      <c r="A57" s="369"/>
      <c r="B57" s="370"/>
      <c r="C57" s="371" t="s">
        <v>119</v>
      </c>
      <c r="D57" s="189"/>
      <c r="E57" s="189"/>
      <c r="F57" s="372">
        <v>-20</v>
      </c>
      <c r="G57" s="372">
        <v>-20</v>
      </c>
      <c r="H57" s="373" t="s">
        <v>120</v>
      </c>
      <c r="I57" s="374" t="s">
        <v>121</v>
      </c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</row>
    <row r="58" ht="21" customHeight="1" hidden="1" spans="1:25" s="35" customFormat="1" x14ac:dyDescent="0.25">
      <c r="A58" s="375"/>
      <c r="B58" s="371"/>
      <c r="C58" s="371" t="s">
        <v>119</v>
      </c>
      <c r="D58" s="195"/>
      <c r="E58" s="195"/>
      <c r="F58" s="376">
        <v>-18</v>
      </c>
      <c r="G58" s="376">
        <v>-18</v>
      </c>
      <c r="H58" s="377" t="s">
        <v>122</v>
      </c>
      <c r="I58" s="374" t="s">
        <v>123</v>
      </c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</row>
    <row r="59" ht="21" customHeight="1" hidden="1" spans="1:25" s="35" customFormat="1" x14ac:dyDescent="0.25">
      <c r="A59" s="390"/>
      <c r="B59" s="371"/>
      <c r="C59" s="371" t="s">
        <v>119</v>
      </c>
      <c r="D59" s="195"/>
      <c r="E59" s="195"/>
      <c r="F59" s="376">
        <v>-18</v>
      </c>
      <c r="G59" s="376">
        <v>-18</v>
      </c>
      <c r="H59" s="377" t="s">
        <v>122</v>
      </c>
      <c r="I59" s="374" t="s">
        <v>124</v>
      </c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</row>
    <row r="60" ht="21" customHeight="1" hidden="1" spans="1:25" s="35" customFormat="1" x14ac:dyDescent="0.25">
      <c r="A60" s="390"/>
      <c r="B60" s="371"/>
      <c r="C60" s="371" t="s">
        <v>119</v>
      </c>
      <c r="D60" s="195"/>
      <c r="E60" s="195"/>
      <c r="F60" s="376">
        <v>-18</v>
      </c>
      <c r="G60" s="376">
        <v>-18</v>
      </c>
      <c r="H60" s="377" t="s">
        <v>122</v>
      </c>
      <c r="I60" s="374" t="s">
        <v>121</v>
      </c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</row>
    <row r="61" ht="21" customHeight="1" hidden="1" spans="1:25" s="35" customFormat="1" x14ac:dyDescent="0.25">
      <c r="A61" s="391"/>
      <c r="B61" s="392"/>
      <c r="C61" s="392" t="s">
        <v>119</v>
      </c>
      <c r="D61" s="296"/>
      <c r="E61" s="296"/>
      <c r="F61" s="393">
        <v>-18</v>
      </c>
      <c r="G61" s="393">
        <v>-18</v>
      </c>
      <c r="H61" s="394" t="s">
        <v>122</v>
      </c>
      <c r="I61" s="395" t="s">
        <v>121</v>
      </c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</row>
    <row r="62" ht="21" customHeight="1" hidden="1" spans="1:25" s="35" customFormat="1" x14ac:dyDescent="0.25">
      <c r="A62" s="396"/>
      <c r="B62" s="382"/>
      <c r="C62" s="382" t="s">
        <v>119</v>
      </c>
      <c r="D62" s="221"/>
      <c r="E62" s="221"/>
      <c r="F62" s="383">
        <v>14</v>
      </c>
      <c r="G62" s="383">
        <v>14</v>
      </c>
      <c r="H62" s="388" t="s">
        <v>122</v>
      </c>
      <c r="I62" s="397" t="s">
        <v>125</v>
      </c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</row>
    <row r="63" ht="21" customHeight="1" hidden="1" spans="1:25" s="35" customFormat="1" x14ac:dyDescent="0.25">
      <c r="A63" s="375"/>
      <c r="B63" s="371"/>
      <c r="C63" s="371" t="s">
        <v>119</v>
      </c>
      <c r="D63" s="195"/>
      <c r="E63" s="195"/>
      <c r="F63" s="385">
        <v>14</v>
      </c>
      <c r="G63" s="385">
        <v>14</v>
      </c>
      <c r="H63" s="377" t="s">
        <v>122</v>
      </c>
      <c r="I63" s="374" t="s">
        <v>126</v>
      </c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</row>
    <row r="64" ht="21" customHeight="1" hidden="1" spans="1:25" s="35" customFormat="1" x14ac:dyDescent="0.25">
      <c r="A64" s="375"/>
      <c r="B64" s="371"/>
      <c r="C64" s="371" t="s">
        <v>119</v>
      </c>
      <c r="D64" s="195"/>
      <c r="E64" s="195"/>
      <c r="F64" s="376">
        <v>14</v>
      </c>
      <c r="G64" s="376">
        <v>14</v>
      </c>
      <c r="H64" s="377" t="s">
        <v>122</v>
      </c>
      <c r="I64" s="374" t="s">
        <v>126</v>
      </c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</row>
    <row r="65" ht="21" customHeight="1" hidden="1" spans="1:25" s="35" customFormat="1" x14ac:dyDescent="0.25">
      <c r="A65" s="375"/>
      <c r="B65" s="371"/>
      <c r="C65" s="371" t="s">
        <v>119</v>
      </c>
      <c r="D65" s="195"/>
      <c r="E65" s="195"/>
      <c r="F65" s="376">
        <v>3</v>
      </c>
      <c r="G65" s="376">
        <v>3</v>
      </c>
      <c r="H65" s="377" t="s">
        <v>122</v>
      </c>
      <c r="I65" s="374" t="s">
        <v>126</v>
      </c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</row>
    <row r="66" ht="21" customHeight="1" hidden="1" spans="1:25" s="35" customFormat="1" x14ac:dyDescent="0.25">
      <c r="A66" s="391"/>
      <c r="B66" s="392"/>
      <c r="C66" s="392" t="s">
        <v>119</v>
      </c>
      <c r="D66" s="296"/>
      <c r="E66" s="296"/>
      <c r="F66" s="393">
        <v>14</v>
      </c>
      <c r="G66" s="393">
        <v>14</v>
      </c>
      <c r="H66" s="398" t="s">
        <v>122</v>
      </c>
      <c r="I66" s="395" t="s">
        <v>125</v>
      </c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</row>
    <row r="67" ht="21" customHeight="1" hidden="1" spans="1:25" s="35" customFormat="1" x14ac:dyDescent="0.25">
      <c r="A67" s="396"/>
      <c r="B67" s="382"/>
      <c r="C67" s="382" t="s">
        <v>119</v>
      </c>
      <c r="D67" s="221"/>
      <c r="E67" s="221"/>
      <c r="F67" s="383">
        <v>14</v>
      </c>
      <c r="G67" s="383">
        <v>14</v>
      </c>
      <c r="H67" s="384" t="s">
        <v>122</v>
      </c>
      <c r="I67" s="397" t="s">
        <v>125</v>
      </c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</row>
    <row r="68" ht="21" customHeight="1" hidden="1" spans="1:25" s="35" customFormat="1" x14ac:dyDescent="0.25">
      <c r="A68" s="375"/>
      <c r="B68" s="371"/>
      <c r="C68" s="371" t="s">
        <v>119</v>
      </c>
      <c r="D68" s="195"/>
      <c r="E68" s="195"/>
      <c r="F68" s="385">
        <v>-20</v>
      </c>
      <c r="G68" s="385">
        <v>-20</v>
      </c>
      <c r="H68" s="377" t="s">
        <v>122</v>
      </c>
      <c r="I68" s="374" t="s">
        <v>126</v>
      </c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</row>
    <row r="69" ht="21" customHeight="1" hidden="1" spans="1:25" s="35" customFormat="1" x14ac:dyDescent="0.25">
      <c r="A69" s="390"/>
      <c r="B69" s="371"/>
      <c r="C69" s="371" t="s">
        <v>119</v>
      </c>
      <c r="D69" s="195"/>
      <c r="E69" s="195"/>
      <c r="F69" s="376">
        <v>-21</v>
      </c>
      <c r="G69" s="376">
        <v>-21</v>
      </c>
      <c r="H69" s="377" t="s">
        <v>122</v>
      </c>
      <c r="I69" s="374" t="s">
        <v>127</v>
      </c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</row>
    <row r="70" ht="21" customHeight="1" hidden="1" spans="1:25" s="35" customFormat="1" x14ac:dyDescent="0.25">
      <c r="A70" s="390"/>
      <c r="B70" s="371"/>
      <c r="C70" s="371"/>
      <c r="D70" s="195"/>
      <c r="E70" s="195"/>
      <c r="F70" s="376"/>
      <c r="G70" s="376"/>
      <c r="H70" s="377"/>
      <c r="I70" s="374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</row>
    <row r="71" ht="21" customHeight="1" hidden="1" spans="1:25" s="35" customFormat="1" x14ac:dyDescent="0.25">
      <c r="A71" s="391"/>
      <c r="B71" s="392"/>
      <c r="C71" s="392"/>
      <c r="D71" s="296"/>
      <c r="E71" s="296"/>
      <c r="F71" s="393"/>
      <c r="G71" s="393"/>
      <c r="H71" s="394"/>
      <c r="I71" s="39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</row>
    <row r="72" ht="21" customHeight="1" hidden="1" spans="1:25" s="35" customFormat="1" x14ac:dyDescent="0.25">
      <c r="A72" s="399"/>
      <c r="B72" s="382"/>
      <c r="C72" s="382"/>
      <c r="D72" s="221"/>
      <c r="E72" s="221"/>
      <c r="F72" s="383"/>
      <c r="G72" s="383"/>
      <c r="H72" s="388"/>
      <c r="I72" s="397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</row>
    <row r="73" ht="21" customHeight="1" hidden="1" spans="1:25" s="35" customFormat="1" x14ac:dyDescent="0.25">
      <c r="A73" s="390"/>
      <c r="B73" s="371"/>
      <c r="C73" s="371"/>
      <c r="D73" s="195"/>
      <c r="E73" s="195"/>
      <c r="F73" s="385"/>
      <c r="G73" s="385"/>
      <c r="H73" s="377"/>
      <c r="I73" s="374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</row>
    <row r="74" ht="21" customHeight="1" hidden="1" spans="1:25" s="35" customFormat="1" x14ac:dyDescent="0.25">
      <c r="A74" s="390"/>
      <c r="B74" s="371"/>
      <c r="C74" s="371"/>
      <c r="D74" s="195"/>
      <c r="E74" s="195"/>
      <c r="F74" s="385"/>
      <c r="G74" s="385"/>
      <c r="H74" s="377"/>
      <c r="I74" s="374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</row>
    <row r="75" ht="21" customHeight="1" hidden="1" spans="1:25" s="35" customFormat="1" x14ac:dyDescent="0.25">
      <c r="A75" s="390"/>
      <c r="B75" s="371"/>
      <c r="C75" s="371"/>
      <c r="D75" s="195"/>
      <c r="E75" s="195"/>
      <c r="F75" s="376"/>
      <c r="G75" s="376"/>
      <c r="H75" s="377"/>
      <c r="I75" s="374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</row>
    <row r="76" ht="21" customHeight="1" hidden="1" spans="1:25" s="35" customFormat="1" x14ac:dyDescent="0.25">
      <c r="A76" s="391"/>
      <c r="B76" s="392"/>
      <c r="C76" s="392"/>
      <c r="D76" s="296"/>
      <c r="E76" s="296"/>
      <c r="F76" s="393"/>
      <c r="G76" s="393"/>
      <c r="H76" s="398"/>
      <c r="I76" s="39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</row>
    <row r="77" ht="6.9" customHeight="1" hidden="1" spans="1:25" s="3" customForma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5" customHeight="1" hidden="1" spans="1:25" s="35" customFormat="1" x14ac:dyDescent="0.25">
      <c r="A78" s="35" t="s">
        <v>128</v>
      </c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</row>
    <row r="79" ht="14.25" customHeight="1" hidden="1" spans="1:25" s="35" customFormat="1" x14ac:dyDescent="0.25">
      <c r="A79" s="35" t="s">
        <v>129</v>
      </c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</row>
    <row r="80" ht="14.25" customHeight="1" hidden="1" spans="1:25" s="35" customFormat="1" x14ac:dyDescent="0.25">
      <c r="A80" s="35" t="s">
        <v>130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</row>
    <row r="81" ht="14.25" customHeight="1" hidden="1" spans="1:25" s="35" customFormat="1" x14ac:dyDescent="0.25">
      <c r="A81" s="35" t="s">
        <v>131</v>
      </c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</row>
    <row r="82" ht="14.25" customHeight="1" hidden="1" spans="1:25" s="35" customFormat="1" x14ac:dyDescent="0.25">
      <c r="A82" s="35" t="s">
        <v>132</v>
      </c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</row>
    <row r="83" ht="14.25" customHeight="1" hidden="1" spans="1:25" s="35" customFormat="1" x14ac:dyDescent="0.25">
      <c r="A83" s="35" t="s">
        <v>133</v>
      </c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</row>
    <row r="84" ht="14.25" customHeight="1" hidden="1" spans="1:25" s="35" customFormat="1" x14ac:dyDescent="0.25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</row>
    <row r="85" ht="14.25" customHeight="1" hidden="1" spans="1:25" s="35" customFormat="1" x14ac:dyDescent="0.25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</row>
    <row r="86" ht="14.25" customHeight="1" hidden="1" spans="1:25" s="35" customFormat="1" x14ac:dyDescent="0.25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</row>
    <row r="87" ht="15.9" customHeight="1" hidden="1" spans="1:25" s="3" customForma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5.9" customHeight="1" hidden="1" spans="1:25" s="3" customForma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8" customHeight="1" hidden="1" spans="1:25" s="35" customFormat="1" x14ac:dyDescent="0.25">
      <c r="A89" s="172" t="s">
        <v>23</v>
      </c>
      <c r="B89" s="172"/>
      <c r="C89" s="35"/>
      <c r="D89" s="172" t="s">
        <v>115</v>
      </c>
      <c r="E89" s="172"/>
      <c r="F89" s="172"/>
      <c r="G89" s="35"/>
      <c r="H89" s="172" t="s">
        <v>24</v>
      </c>
      <c r="I89" s="172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</row>
    <row r="90" ht="27.9" customHeight="1" spans="1:25" s="3" customFormat="1" x14ac:dyDescent="0.25">
      <c r="A90" s="361" t="s">
        <v>25</v>
      </c>
      <c r="B90" s="361"/>
      <c r="C90" s="361"/>
      <c r="D90" s="361"/>
      <c r="E90" s="361"/>
      <c r="F90" s="361"/>
      <c r="G90" s="361"/>
      <c r="H90" s="361"/>
      <c r="I90" s="361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8" customHeight="1" spans="1:25" s="3" customFormat="1" x14ac:dyDescent="0.25">
      <c r="A91" s="265" t="s">
        <v>26</v>
      </c>
      <c r="B91" s="265"/>
      <c r="C91" s="265"/>
      <c r="D91" s="265"/>
      <c r="E91" s="265"/>
      <c r="F91" s="265"/>
      <c r="G91" s="265"/>
      <c r="H91" s="265"/>
      <c r="I91" s="265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1.25" customHeight="1" spans="1:25" s="3" customForma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27" customHeight="1" spans="1:25" x14ac:dyDescent="0.25">
      <c r="A93" s="174" t="s">
        <v>101</v>
      </c>
      <c r="B93" s="174"/>
      <c r="C93" s="174"/>
      <c r="D93" s="174"/>
      <c r="E93" s="174"/>
      <c r="F93" s="174"/>
      <c r="G93" s="174"/>
      <c r="H93" s="174"/>
      <c r="I93" s="174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x14ac:dyDescent="0.25">
      <c r="A94" s="158" t="s">
        <v>102</v>
      </c>
      <c r="B94" s="158"/>
      <c r="C94" s="158"/>
      <c r="D94" s="158"/>
      <c r="E94" s="158"/>
      <c r="F94" s="158"/>
      <c r="G94" s="158"/>
      <c r="H94" s="158"/>
      <c r="I94" s="15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4.25" customHeight="1" spans="1:25" x14ac:dyDescent="0.25">
      <c r="A95" s="158"/>
      <c r="B95" s="158"/>
      <c r="C95" s="158"/>
      <c r="D95" s="158"/>
      <c r="E95" s="158"/>
      <c r="F95" s="158"/>
      <c r="G95" s="158"/>
      <c r="H95" s="158"/>
      <c r="I95" s="269" t="s">
        <v>103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22.5" customHeight="1" spans="1:25" x14ac:dyDescent="0.25">
      <c r="A96" s="3" t="str">
        <f>모선이름</f>
        <v>M / V : PEGASUS PROTO</v>
      </c>
      <c r="B96" s="3"/>
      <c r="C96" s="3"/>
      <c r="D96" s="3" t="s">
        <v>29</v>
      </c>
      <c r="E96" s="138" t="s">
        <v>77</v>
      </c>
      <c r="F96" s="158"/>
      <c r="G96" s="269" t="s">
        <v>5</v>
      </c>
      <c r="H96" s="572">
        <v>46228</v>
      </c>
      <c r="I96" s="158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22.5" customHeight="1" spans="1:25" x14ac:dyDescent="0.25">
      <c r="A97" s="3" t="s">
        <v>105</v>
      </c>
      <c r="B97" s="3"/>
      <c r="C97" s="3"/>
      <c r="D97" s="362" t="s">
        <v>7</v>
      </c>
      <c r="E97" s="138">
        <v>8</v>
      </c>
      <c r="F97" s="158"/>
      <c r="G97" s="269" t="s">
        <v>8</v>
      </c>
      <c r="H97" s="138" t="s">
        <v>106</v>
      </c>
      <c r="I97" s="158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9" customHeight="1" spans="1:25" x14ac:dyDescent="0.25">
      <c r="A98" s="3"/>
      <c r="B98" s="3"/>
      <c r="C98" s="3"/>
      <c r="D98" s="3"/>
      <c r="E98" s="3"/>
      <c r="F98" s="3"/>
      <c r="G98" s="3"/>
      <c r="H98" s="3"/>
      <c r="I98" s="3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21" customHeight="1" spans="1:25" x14ac:dyDescent="0.25">
      <c r="A99" s="220" t="s">
        <v>107</v>
      </c>
      <c r="B99" s="220" t="s">
        <v>93</v>
      </c>
      <c r="C99" s="220" t="s">
        <v>89</v>
      </c>
      <c r="D99" s="139" t="s">
        <v>108</v>
      </c>
      <c r="E99" s="146"/>
      <c r="F99" s="139" t="s">
        <v>109</v>
      </c>
      <c r="G99" s="146"/>
      <c r="H99" s="240" t="s">
        <v>110</v>
      </c>
      <c r="I99" s="220" t="s">
        <v>53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21" customHeight="1" spans="1:25" x14ac:dyDescent="0.25">
      <c r="A100" s="27"/>
      <c r="B100" s="27"/>
      <c r="C100" s="27"/>
      <c r="D100" s="365" t="s">
        <v>111</v>
      </c>
      <c r="E100" s="366"/>
      <c r="F100" s="367" t="s">
        <v>112</v>
      </c>
      <c r="G100" s="365" t="s">
        <v>113</v>
      </c>
      <c r="H100" s="368" t="s">
        <v>114</v>
      </c>
      <c r="I100" s="27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21" customHeight="1" spans="1:25" x14ac:dyDescent="0.25">
      <c r="A101" s="325"/>
      <c r="B101" s="323"/>
      <c r="C101" s="323"/>
      <c r="D101" s="184"/>
      <c r="E101" s="185"/>
      <c r="F101" s="372"/>
      <c r="G101" s="372"/>
      <c r="H101" s="373" t="s">
        <v>135</v>
      </c>
      <c r="I101" s="323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21" customHeight="1" spans="1:25" x14ac:dyDescent="0.25">
      <c r="A102" s="400"/>
      <c r="B102" s="329"/>
      <c r="C102" s="329"/>
      <c r="D102" s="139"/>
      <c r="E102" s="146"/>
      <c r="F102" s="376"/>
      <c r="G102" s="376"/>
      <c r="H102" s="401"/>
      <c r="I102" s="329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21" customHeight="1" spans="1:25" x14ac:dyDescent="0.25">
      <c r="A103" s="400"/>
      <c r="B103" s="329"/>
      <c r="C103" s="329"/>
      <c r="D103" s="139"/>
      <c r="E103" s="146"/>
      <c r="F103" s="376"/>
      <c r="G103" s="376"/>
      <c r="H103" s="401"/>
      <c r="I103" s="329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21" customHeight="1" spans="1:25" x14ac:dyDescent="0.25">
      <c r="A104" s="400"/>
      <c r="B104" s="329"/>
      <c r="C104" s="329"/>
      <c r="D104" s="139"/>
      <c r="E104" s="146"/>
      <c r="F104" s="376"/>
      <c r="G104" s="376"/>
      <c r="H104" s="401"/>
      <c r="I104" s="329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21" customHeight="1" spans="1:25" x14ac:dyDescent="0.25">
      <c r="A105" s="402"/>
      <c r="B105" s="334"/>
      <c r="C105" s="334"/>
      <c r="D105" s="148"/>
      <c r="E105" s="149"/>
      <c r="F105" s="393"/>
      <c r="G105" s="393"/>
      <c r="H105" s="403"/>
      <c r="I105" s="334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21" customHeight="1" spans="1:25" x14ac:dyDescent="0.25">
      <c r="A106" s="399"/>
      <c r="B106" s="325"/>
      <c r="C106" s="325"/>
      <c r="D106" s="157"/>
      <c r="E106" s="152"/>
      <c r="F106" s="383"/>
      <c r="G106" s="383"/>
      <c r="H106" s="401"/>
      <c r="I106" s="325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21" customHeight="1" spans="1:25" x14ac:dyDescent="0.25">
      <c r="A107" s="390"/>
      <c r="B107" s="404"/>
      <c r="C107" s="404"/>
      <c r="D107" s="139"/>
      <c r="E107" s="146"/>
      <c r="F107" s="385"/>
      <c r="G107" s="385"/>
      <c r="H107" s="401"/>
      <c r="I107" s="329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21" customHeight="1" spans="1:25" x14ac:dyDescent="0.25">
      <c r="A108" s="405"/>
      <c r="B108" s="405"/>
      <c r="C108" s="405"/>
      <c r="D108" s="139"/>
      <c r="E108" s="146"/>
      <c r="F108" s="376"/>
      <c r="G108" s="376"/>
      <c r="H108" s="401"/>
      <c r="I108" s="405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21" customHeight="1" spans="1:25" x14ac:dyDescent="0.25">
      <c r="A109" s="405"/>
      <c r="B109" s="405"/>
      <c r="C109" s="405"/>
      <c r="D109" s="139"/>
      <c r="E109" s="146"/>
      <c r="F109" s="376"/>
      <c r="G109" s="376"/>
      <c r="H109" s="401"/>
      <c r="I109" s="405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21" customHeight="1" spans="1:25" x14ac:dyDescent="0.25">
      <c r="A110" s="406"/>
      <c r="B110" s="406"/>
      <c r="C110" s="406"/>
      <c r="D110" s="148"/>
      <c r="E110" s="149"/>
      <c r="F110" s="393"/>
      <c r="G110" s="393"/>
      <c r="H110" s="403"/>
      <c r="I110" s="406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21" customHeight="1" spans="1:25" x14ac:dyDescent="0.25">
      <c r="A111" s="407"/>
      <c r="B111" s="407"/>
      <c r="C111" s="407"/>
      <c r="D111" s="24"/>
      <c r="E111" s="22"/>
      <c r="F111" s="383"/>
      <c r="G111" s="383"/>
      <c r="H111" s="408"/>
      <c r="I111" s="407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21" customHeight="1" spans="1:25" x14ac:dyDescent="0.25">
      <c r="A112" s="405"/>
      <c r="B112" s="405"/>
      <c r="C112" s="405"/>
      <c r="D112" s="139"/>
      <c r="E112" s="146"/>
      <c r="F112" s="385"/>
      <c r="G112" s="385"/>
      <c r="H112" s="401"/>
      <c r="I112" s="405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21" customHeight="1" spans="1:25" x14ac:dyDescent="0.25">
      <c r="A113" s="405"/>
      <c r="B113" s="405"/>
      <c r="C113" s="405"/>
      <c r="D113" s="139"/>
      <c r="E113" s="146"/>
      <c r="F113" s="376"/>
      <c r="G113" s="376"/>
      <c r="H113" s="401"/>
      <c r="I113" s="405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21" customHeight="1" spans="1:25" x14ac:dyDescent="0.25">
      <c r="A114" s="405"/>
      <c r="B114" s="405"/>
      <c r="C114" s="405"/>
      <c r="D114" s="139"/>
      <c r="E114" s="146"/>
      <c r="F114" s="376"/>
      <c r="G114" s="376"/>
      <c r="H114" s="401"/>
      <c r="I114" s="405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21" customHeight="1" spans="1:25" x14ac:dyDescent="0.25">
      <c r="A115" s="409"/>
      <c r="B115" s="409"/>
      <c r="C115" s="409"/>
      <c r="D115" s="148"/>
      <c r="E115" s="149"/>
      <c r="F115" s="393"/>
      <c r="G115" s="393"/>
      <c r="H115" s="220"/>
      <c r="I115" s="409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21" customHeight="1" spans="1:25" x14ac:dyDescent="0.25">
      <c r="A116" s="410"/>
      <c r="B116" s="410"/>
      <c r="C116" s="410"/>
      <c r="D116" s="24"/>
      <c r="E116" s="22"/>
      <c r="F116" s="383"/>
      <c r="G116" s="383"/>
      <c r="H116" s="23"/>
      <c r="I116" s="410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21" customHeight="1" spans="1:25" x14ac:dyDescent="0.25">
      <c r="A117" s="405"/>
      <c r="B117" s="405"/>
      <c r="C117" s="405"/>
      <c r="D117" s="139"/>
      <c r="E117" s="146"/>
      <c r="F117" s="385"/>
      <c r="G117" s="385"/>
      <c r="H117" s="240"/>
      <c r="I117" s="405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21" customHeight="1" spans="1:25" x14ac:dyDescent="0.25">
      <c r="A118" s="411"/>
      <c r="B118" s="411"/>
      <c r="C118" s="411"/>
      <c r="D118" s="139"/>
      <c r="E118" s="146"/>
      <c r="F118" s="385"/>
      <c r="G118" s="385"/>
      <c r="H118" s="240"/>
      <c r="I118" s="240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21" customHeight="1" spans="1:25" x14ac:dyDescent="0.25">
      <c r="A119" s="411"/>
      <c r="B119" s="411"/>
      <c r="C119" s="411"/>
      <c r="D119" s="139"/>
      <c r="E119" s="146"/>
      <c r="F119" s="376"/>
      <c r="G119" s="376"/>
      <c r="H119" s="240"/>
      <c r="I119" s="240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21" customHeight="1" spans="1:25" x14ac:dyDescent="0.25">
      <c r="A120" s="412"/>
      <c r="B120" s="412"/>
      <c r="C120" s="412"/>
      <c r="D120" s="148"/>
      <c r="E120" s="149"/>
      <c r="F120" s="393"/>
      <c r="G120" s="393"/>
      <c r="H120" s="296"/>
      <c r="I120" s="296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6.9" customHeight="1" spans="1:2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5" customHeight="1" spans="1:25" x14ac:dyDescent="0.25">
      <c r="A122" s="35" t="s">
        <v>128</v>
      </c>
      <c r="B122" s="35"/>
      <c r="C122" s="35"/>
      <c r="D122" s="35"/>
      <c r="E122" s="35"/>
      <c r="F122" s="35"/>
      <c r="G122" s="35"/>
      <c r="H122" s="35"/>
      <c r="I122" s="35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4.25" customHeight="1" spans="1:25" x14ac:dyDescent="0.25">
      <c r="A123" s="35" t="s">
        <v>129</v>
      </c>
      <c r="B123" s="35"/>
      <c r="C123" s="35"/>
      <c r="D123" s="35"/>
      <c r="E123" s="35"/>
      <c r="F123" s="35"/>
      <c r="G123" s="35"/>
      <c r="H123" s="35"/>
      <c r="I123" s="35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4.25" customHeight="1" spans="1:25" x14ac:dyDescent="0.25">
      <c r="A124" s="35" t="s">
        <v>130</v>
      </c>
      <c r="B124" s="35"/>
      <c r="C124" s="35"/>
      <c r="D124" s="35"/>
      <c r="E124" s="35"/>
      <c r="F124" s="35"/>
      <c r="G124" s="35"/>
      <c r="H124" s="35"/>
      <c r="I124" s="35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4.25" customHeight="1" spans="1:25" x14ac:dyDescent="0.25">
      <c r="A125" s="35" t="s">
        <v>131</v>
      </c>
      <c r="B125" s="35"/>
      <c r="C125" s="35"/>
      <c r="D125" s="35"/>
      <c r="E125" s="35"/>
      <c r="F125" s="35"/>
      <c r="G125" s="35"/>
      <c r="H125" s="35"/>
      <c r="I125" s="35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4.25" customHeight="1" spans="1:25" x14ac:dyDescent="0.25">
      <c r="A126" s="35" t="s">
        <v>132</v>
      </c>
      <c r="B126" s="35"/>
      <c r="C126" s="35"/>
      <c r="D126" s="35"/>
      <c r="E126" s="35"/>
      <c r="F126" s="35"/>
      <c r="G126" s="35"/>
      <c r="H126" s="35"/>
      <c r="I126" s="35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4.25" customHeight="1" spans="1:25" x14ac:dyDescent="0.25">
      <c r="A127" s="35" t="s">
        <v>133</v>
      </c>
      <c r="B127" s="35"/>
      <c r="C127" s="35"/>
      <c r="D127" s="35"/>
      <c r="E127" s="35"/>
      <c r="F127" s="35"/>
      <c r="G127" s="35"/>
      <c r="H127" s="35"/>
      <c r="I127" s="35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4.25" customHeight="1" spans="1:25" x14ac:dyDescent="0.25">
      <c r="A128" s="35"/>
      <c r="B128" s="35"/>
      <c r="C128" s="35"/>
      <c r="D128" s="35"/>
      <c r="E128" s="35"/>
      <c r="F128" s="35"/>
      <c r="G128" s="35"/>
      <c r="H128" s="35"/>
      <c r="I128" s="35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4.25" customHeight="1" spans="1:25" x14ac:dyDescent="0.25">
      <c r="A129" s="35"/>
      <c r="B129" s="35"/>
      <c r="C129" s="35"/>
      <c r="D129" s="35"/>
      <c r="E129" s="35"/>
      <c r="F129" s="35"/>
      <c r="G129" s="35"/>
      <c r="H129" s="35"/>
      <c r="I129" s="35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4.25" customHeight="1" spans="1:25" x14ac:dyDescent="0.25">
      <c r="A130" s="35"/>
      <c r="B130" s="35"/>
      <c r="C130" s="35"/>
      <c r="D130" s="35"/>
      <c r="E130" s="35"/>
      <c r="F130" s="35"/>
      <c r="G130" s="35"/>
      <c r="H130" s="35"/>
      <c r="I130" s="35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5.9" customHeight="1" spans="1:2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5.9" customHeight="1" spans="1:25" x14ac:dyDescent="0.25">
      <c r="A132" s="170"/>
      <c r="B132" s="170"/>
      <c r="C132" s="3"/>
      <c r="D132" s="170"/>
      <c r="E132" s="170"/>
      <c r="F132" s="170"/>
      <c r="G132" s="3"/>
      <c r="H132" s="170"/>
      <c r="I132" s="170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8" customHeight="1" spans="1:25" x14ac:dyDescent="0.25">
      <c r="A133" s="172" t="s">
        <v>23</v>
      </c>
      <c r="B133" s="172"/>
      <c r="C133" s="35"/>
      <c r="D133" s="172" t="s">
        <v>115</v>
      </c>
      <c r="E133" s="172"/>
      <c r="F133" s="172"/>
      <c r="G133" s="35"/>
      <c r="H133" s="172" t="s">
        <v>24</v>
      </c>
      <c r="I133" s="17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</sheetData>
  <mergeCells count="94">
    <mergeCell ref="A1:I1"/>
    <mergeCell ref="A2:I2"/>
    <mergeCell ref="A4:I4"/>
    <mergeCell ref="A5:I5"/>
    <mergeCell ref="E7:F7"/>
    <mergeCell ref="H7:I7"/>
    <mergeCell ref="E8:F8"/>
    <mergeCell ref="H8:I8"/>
    <mergeCell ref="D10:E10"/>
    <mergeCell ref="F10:G10"/>
    <mergeCell ref="A10:A11"/>
    <mergeCell ref="B10:B11"/>
    <mergeCell ref="C10:C11"/>
    <mergeCell ref="D11:E11"/>
    <mergeCell ref="I10:I11"/>
    <mergeCell ref="A45:B45"/>
    <mergeCell ref="D45:F45"/>
    <mergeCell ref="H45:I45"/>
    <mergeCell ref="A46:I46"/>
    <mergeCell ref="A47:I47"/>
    <mergeCell ref="A49:I49"/>
    <mergeCell ref="A50:I50"/>
    <mergeCell ref="E52:F52"/>
    <mergeCell ref="H52:I52"/>
    <mergeCell ref="E53:F53"/>
    <mergeCell ref="H53:I53"/>
    <mergeCell ref="D55:E55"/>
    <mergeCell ref="F55:G55"/>
    <mergeCell ref="A55:A56"/>
    <mergeCell ref="B55:B56"/>
    <mergeCell ref="C55:C56"/>
    <mergeCell ref="D56:E56"/>
    <mergeCell ref="I55:I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A89:B89"/>
    <mergeCell ref="D89:F89"/>
    <mergeCell ref="H89:I89"/>
    <mergeCell ref="A90:I90"/>
    <mergeCell ref="A91:I91"/>
    <mergeCell ref="A93:I93"/>
    <mergeCell ref="A94:I94"/>
    <mergeCell ref="E96:F96"/>
    <mergeCell ref="H96:I96"/>
    <mergeCell ref="E97:F97"/>
    <mergeCell ref="H97:I97"/>
    <mergeCell ref="D99:E99"/>
    <mergeCell ref="F99:G99"/>
    <mergeCell ref="A99:A100"/>
    <mergeCell ref="B99:B100"/>
    <mergeCell ref="C99:C100"/>
    <mergeCell ref="D100:E100"/>
    <mergeCell ref="I99:I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A133:B133"/>
    <mergeCell ref="D133:F133"/>
    <mergeCell ref="H133:I133"/>
  </mergeCells>
  <printOptions horizontalCentered="1" verticalCentered="1"/>
  <pageMargins left="0.5905511811023623" right="0.4724409448818898" top="0.5905511811023623" bottom="0.6692913385826772" header="0.15748031496062992" footer="0.15748031496062992"/>
  <pageSetup paperSize="9" orientation="portrait" horizontalDpi="4294967295" verticalDpi="4294967295" scale="95" fitToWidth="1" fitToHeight="1" firstPageNumber="1" useFirstPageNumber="1" copies="1"/>
</worksheet>
</file>

<file path=xl/worksheets/sheet1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indexed="59"/>
    <pageSetUpPr fitToPage="1"/>
  </sheetPr>
  <dimension ref="A1:Y37"/>
  <sheetViews>
    <sheetView workbookViewId="0" zoomScale="90" zoomScaleNormal="90">
      <selection activeCell="A4" sqref="A4"/>
    </sheetView>
  </sheetViews>
  <sheetFormatPr defaultRowHeight="19.2" outlineLevelRow="0" outlineLevelCol="0" x14ac:dyDescent="0" customHeight="1"/>
  <cols>
    <col min="1" max="1" width="7.5" style="3" customWidth="1"/>
    <col min="2" max="2" width="9.5" style="3" customWidth="1"/>
    <col min="3" max="5" width="5.59765625" style="3" customWidth="1"/>
    <col min="6" max="9" width="6" style="3" customWidth="1"/>
    <col min="10" max="10" width="9" style="3" customWidth="1"/>
    <col min="11" max="18" width="7.59765625" style="3" customWidth="1"/>
    <col min="19" max="19" width="6.69921875" style="3" customWidth="1"/>
    <col min="20" max="256" width="9" style="3" customWidth="1"/>
    <col min="257" max="257" width="7.5" style="3" customWidth="1"/>
    <col min="258" max="258" width="9.5" style="3" customWidth="1"/>
    <col min="259" max="261" width="5.59765625" style="3" customWidth="1"/>
    <col min="262" max="265" width="6" style="3" customWidth="1"/>
    <col min="266" max="266" width="9" style="3" customWidth="1"/>
    <col min="267" max="267" width="7.59765625" style="3" customWidth="1"/>
    <col min="268" max="274" width="8" style="3" customWidth="1"/>
    <col min="275" max="275" width="6.69921875" style="3" customWidth="1"/>
    <col min="276" max="512" width="9" style="3" customWidth="1"/>
    <col min="513" max="513" width="7.5" style="3" customWidth="1"/>
    <col min="514" max="514" width="9.5" style="3" customWidth="1"/>
    <col min="515" max="517" width="5.59765625" style="3" customWidth="1"/>
    <col min="518" max="521" width="6" style="3" customWidth="1"/>
    <col min="522" max="522" width="9" style="3" customWidth="1"/>
    <col min="523" max="523" width="7.59765625" style="3" customWidth="1"/>
    <col min="524" max="530" width="8" style="3" customWidth="1"/>
    <col min="531" max="531" width="6.69921875" style="3" customWidth="1"/>
    <col min="532" max="768" width="9" style="3" customWidth="1"/>
    <col min="769" max="769" width="7.5" style="3" customWidth="1"/>
    <col min="770" max="770" width="9.5" style="3" customWidth="1"/>
    <col min="771" max="773" width="5.59765625" style="3" customWidth="1"/>
    <col min="774" max="777" width="6" style="3" customWidth="1"/>
    <col min="778" max="778" width="9" style="3" customWidth="1"/>
    <col min="779" max="779" width="7.59765625" style="3" customWidth="1"/>
    <col min="780" max="786" width="8" style="3" customWidth="1"/>
    <col min="787" max="787" width="6.69921875" style="3" customWidth="1"/>
    <col min="788" max="1024" width="9" style="3" customWidth="1"/>
    <col min="1025" max="1025" width="7.5" style="3" customWidth="1"/>
    <col min="1026" max="1026" width="9.5" style="3" customWidth="1"/>
    <col min="1027" max="1029" width="5.59765625" style="3" customWidth="1"/>
    <col min="1030" max="1033" width="6" style="3" customWidth="1"/>
    <col min="1034" max="1034" width="9" style="3" customWidth="1"/>
    <col min="1035" max="1035" width="7.59765625" style="3" customWidth="1"/>
    <col min="1036" max="1042" width="8" style="3" customWidth="1"/>
    <col min="1043" max="1043" width="6.69921875" style="3" customWidth="1"/>
    <col min="1044" max="1280" width="9" style="3" customWidth="1"/>
    <col min="1281" max="1281" width="7.5" style="3" customWidth="1"/>
    <col min="1282" max="1282" width="9.5" style="3" customWidth="1"/>
    <col min="1283" max="1285" width="5.59765625" style="3" customWidth="1"/>
    <col min="1286" max="1289" width="6" style="3" customWidth="1"/>
    <col min="1290" max="1290" width="9" style="3" customWidth="1"/>
    <col min="1291" max="1291" width="7.59765625" style="3" customWidth="1"/>
    <col min="1292" max="1298" width="8" style="3" customWidth="1"/>
    <col min="1299" max="1299" width="6.69921875" style="3" customWidth="1"/>
    <col min="1300" max="1536" width="9" style="3" customWidth="1"/>
    <col min="1537" max="1537" width="7.5" style="3" customWidth="1"/>
    <col min="1538" max="1538" width="9.5" style="3" customWidth="1"/>
    <col min="1539" max="1541" width="5.59765625" style="3" customWidth="1"/>
    <col min="1542" max="1545" width="6" style="3" customWidth="1"/>
    <col min="1546" max="1546" width="9" style="3" customWidth="1"/>
    <col min="1547" max="1547" width="7.59765625" style="3" customWidth="1"/>
    <col min="1548" max="1554" width="8" style="3" customWidth="1"/>
    <col min="1555" max="1555" width="6.69921875" style="3" customWidth="1"/>
    <col min="1556" max="1792" width="9" style="3" customWidth="1"/>
    <col min="1793" max="1793" width="7.5" style="3" customWidth="1"/>
    <col min="1794" max="1794" width="9.5" style="3" customWidth="1"/>
    <col min="1795" max="1797" width="5.59765625" style="3" customWidth="1"/>
    <col min="1798" max="1801" width="6" style="3" customWidth="1"/>
    <col min="1802" max="1802" width="9" style="3" customWidth="1"/>
    <col min="1803" max="1803" width="7.59765625" style="3" customWidth="1"/>
    <col min="1804" max="1810" width="8" style="3" customWidth="1"/>
    <col min="1811" max="1811" width="6.69921875" style="3" customWidth="1"/>
    <col min="1812" max="2048" width="9" style="3" customWidth="1"/>
    <col min="2049" max="2049" width="7.5" style="3" customWidth="1"/>
    <col min="2050" max="2050" width="9.5" style="3" customWidth="1"/>
    <col min="2051" max="2053" width="5.59765625" style="3" customWidth="1"/>
    <col min="2054" max="2057" width="6" style="3" customWidth="1"/>
    <col min="2058" max="2058" width="9" style="3" customWidth="1"/>
    <col min="2059" max="2059" width="7.59765625" style="3" customWidth="1"/>
    <col min="2060" max="2066" width="8" style="3" customWidth="1"/>
    <col min="2067" max="2067" width="6.69921875" style="3" customWidth="1"/>
    <col min="2068" max="2304" width="9" style="3" customWidth="1"/>
    <col min="2305" max="2305" width="7.5" style="3" customWidth="1"/>
    <col min="2306" max="2306" width="9.5" style="3" customWidth="1"/>
    <col min="2307" max="2309" width="5.59765625" style="3" customWidth="1"/>
    <col min="2310" max="2313" width="6" style="3" customWidth="1"/>
    <col min="2314" max="2314" width="9" style="3" customWidth="1"/>
    <col min="2315" max="2315" width="7.59765625" style="3" customWidth="1"/>
    <col min="2316" max="2322" width="8" style="3" customWidth="1"/>
    <col min="2323" max="2323" width="6.69921875" style="3" customWidth="1"/>
    <col min="2324" max="2560" width="9" style="3" customWidth="1"/>
    <col min="2561" max="2561" width="7.5" style="3" customWidth="1"/>
    <col min="2562" max="2562" width="9.5" style="3" customWidth="1"/>
    <col min="2563" max="2565" width="5.59765625" style="3" customWidth="1"/>
    <col min="2566" max="2569" width="6" style="3" customWidth="1"/>
    <col min="2570" max="2570" width="9" style="3" customWidth="1"/>
    <col min="2571" max="2571" width="7.59765625" style="3" customWidth="1"/>
    <col min="2572" max="2578" width="8" style="3" customWidth="1"/>
    <col min="2579" max="2579" width="6.69921875" style="3" customWidth="1"/>
    <col min="2580" max="2816" width="9" style="3" customWidth="1"/>
    <col min="2817" max="2817" width="7.5" style="3" customWidth="1"/>
    <col min="2818" max="2818" width="9.5" style="3" customWidth="1"/>
    <col min="2819" max="2821" width="5.59765625" style="3" customWidth="1"/>
    <col min="2822" max="2825" width="6" style="3" customWidth="1"/>
    <col min="2826" max="2826" width="9" style="3" customWidth="1"/>
    <col min="2827" max="2827" width="7.59765625" style="3" customWidth="1"/>
    <col min="2828" max="2834" width="8" style="3" customWidth="1"/>
    <col min="2835" max="2835" width="6.69921875" style="3" customWidth="1"/>
    <col min="2836" max="3072" width="9" style="3" customWidth="1"/>
    <col min="3073" max="3073" width="7.5" style="3" customWidth="1"/>
    <col min="3074" max="3074" width="9.5" style="3" customWidth="1"/>
    <col min="3075" max="3077" width="5.59765625" style="3" customWidth="1"/>
    <col min="3078" max="3081" width="6" style="3" customWidth="1"/>
    <col min="3082" max="3082" width="9" style="3" customWidth="1"/>
    <col min="3083" max="3083" width="7.59765625" style="3" customWidth="1"/>
    <col min="3084" max="3090" width="8" style="3" customWidth="1"/>
    <col min="3091" max="3091" width="6.69921875" style="3" customWidth="1"/>
    <col min="3092" max="3328" width="9" style="3" customWidth="1"/>
    <col min="3329" max="3329" width="7.5" style="3" customWidth="1"/>
    <col min="3330" max="3330" width="9.5" style="3" customWidth="1"/>
    <col min="3331" max="3333" width="5.59765625" style="3" customWidth="1"/>
    <col min="3334" max="3337" width="6" style="3" customWidth="1"/>
    <col min="3338" max="3338" width="9" style="3" customWidth="1"/>
    <col min="3339" max="3339" width="7.59765625" style="3" customWidth="1"/>
    <col min="3340" max="3346" width="8" style="3" customWidth="1"/>
    <col min="3347" max="3347" width="6.69921875" style="3" customWidth="1"/>
    <col min="3348" max="3584" width="9" style="3" customWidth="1"/>
    <col min="3585" max="3585" width="7.5" style="3" customWidth="1"/>
    <col min="3586" max="3586" width="9.5" style="3" customWidth="1"/>
    <col min="3587" max="3589" width="5.59765625" style="3" customWidth="1"/>
    <col min="3590" max="3593" width="6" style="3" customWidth="1"/>
    <col min="3594" max="3594" width="9" style="3" customWidth="1"/>
    <col min="3595" max="3595" width="7.59765625" style="3" customWidth="1"/>
    <col min="3596" max="3602" width="8" style="3" customWidth="1"/>
    <col min="3603" max="3603" width="6.69921875" style="3" customWidth="1"/>
    <col min="3604" max="3840" width="9" style="3" customWidth="1"/>
    <col min="3841" max="3841" width="7.5" style="3" customWidth="1"/>
    <col min="3842" max="3842" width="9.5" style="3" customWidth="1"/>
    <col min="3843" max="3845" width="5.59765625" style="3" customWidth="1"/>
    <col min="3846" max="3849" width="6" style="3" customWidth="1"/>
    <col min="3850" max="3850" width="9" style="3" customWidth="1"/>
    <col min="3851" max="3851" width="7.59765625" style="3" customWidth="1"/>
    <col min="3852" max="3858" width="8" style="3" customWidth="1"/>
    <col min="3859" max="3859" width="6.69921875" style="3" customWidth="1"/>
    <col min="3860" max="4096" width="9" style="3" customWidth="1"/>
    <col min="4097" max="4097" width="7.5" style="3" customWidth="1"/>
    <col min="4098" max="4098" width="9.5" style="3" customWidth="1"/>
    <col min="4099" max="4101" width="5.59765625" style="3" customWidth="1"/>
    <col min="4102" max="4105" width="6" style="3" customWidth="1"/>
    <col min="4106" max="4106" width="9" style="3" customWidth="1"/>
    <col min="4107" max="4107" width="7.59765625" style="3" customWidth="1"/>
    <col min="4108" max="4114" width="8" style="3" customWidth="1"/>
    <col min="4115" max="4115" width="6.69921875" style="3" customWidth="1"/>
    <col min="4116" max="4352" width="9" style="3" customWidth="1"/>
    <col min="4353" max="4353" width="7.5" style="3" customWidth="1"/>
    <col min="4354" max="4354" width="9.5" style="3" customWidth="1"/>
    <col min="4355" max="4357" width="5.59765625" style="3" customWidth="1"/>
    <col min="4358" max="4361" width="6" style="3" customWidth="1"/>
    <col min="4362" max="4362" width="9" style="3" customWidth="1"/>
    <col min="4363" max="4363" width="7.59765625" style="3" customWidth="1"/>
    <col min="4364" max="4370" width="8" style="3" customWidth="1"/>
    <col min="4371" max="4371" width="6.69921875" style="3" customWidth="1"/>
    <col min="4372" max="4608" width="9" style="3" customWidth="1"/>
    <col min="4609" max="4609" width="7.5" style="3" customWidth="1"/>
    <col min="4610" max="4610" width="9.5" style="3" customWidth="1"/>
    <col min="4611" max="4613" width="5.59765625" style="3" customWidth="1"/>
    <col min="4614" max="4617" width="6" style="3" customWidth="1"/>
    <col min="4618" max="4618" width="9" style="3" customWidth="1"/>
    <col min="4619" max="4619" width="7.59765625" style="3" customWidth="1"/>
    <col min="4620" max="4626" width="8" style="3" customWidth="1"/>
    <col min="4627" max="4627" width="6.69921875" style="3" customWidth="1"/>
    <col min="4628" max="4864" width="9" style="3" customWidth="1"/>
    <col min="4865" max="4865" width="7.5" style="3" customWidth="1"/>
    <col min="4866" max="4866" width="9.5" style="3" customWidth="1"/>
    <col min="4867" max="4869" width="5.59765625" style="3" customWidth="1"/>
    <col min="4870" max="4873" width="6" style="3" customWidth="1"/>
    <col min="4874" max="4874" width="9" style="3" customWidth="1"/>
    <col min="4875" max="4875" width="7.59765625" style="3" customWidth="1"/>
    <col min="4876" max="4882" width="8" style="3" customWidth="1"/>
    <col min="4883" max="4883" width="6.69921875" style="3" customWidth="1"/>
    <col min="4884" max="5120" width="9" style="3" customWidth="1"/>
    <col min="5121" max="5121" width="7.5" style="3" customWidth="1"/>
    <col min="5122" max="5122" width="9.5" style="3" customWidth="1"/>
    <col min="5123" max="5125" width="5.59765625" style="3" customWidth="1"/>
    <col min="5126" max="5129" width="6" style="3" customWidth="1"/>
    <col min="5130" max="5130" width="9" style="3" customWidth="1"/>
    <col min="5131" max="5131" width="7.59765625" style="3" customWidth="1"/>
    <col min="5132" max="5138" width="8" style="3" customWidth="1"/>
    <col min="5139" max="5139" width="6.69921875" style="3" customWidth="1"/>
    <col min="5140" max="5376" width="9" style="3" customWidth="1"/>
    <col min="5377" max="5377" width="7.5" style="3" customWidth="1"/>
    <col min="5378" max="5378" width="9.5" style="3" customWidth="1"/>
    <col min="5379" max="5381" width="5.59765625" style="3" customWidth="1"/>
    <col min="5382" max="5385" width="6" style="3" customWidth="1"/>
    <col min="5386" max="5386" width="9" style="3" customWidth="1"/>
    <col min="5387" max="5387" width="7.59765625" style="3" customWidth="1"/>
    <col min="5388" max="5394" width="8" style="3" customWidth="1"/>
    <col min="5395" max="5395" width="6.69921875" style="3" customWidth="1"/>
    <col min="5396" max="5632" width="9" style="3" customWidth="1"/>
    <col min="5633" max="5633" width="7.5" style="3" customWidth="1"/>
    <col min="5634" max="5634" width="9.5" style="3" customWidth="1"/>
    <col min="5635" max="5637" width="5.59765625" style="3" customWidth="1"/>
    <col min="5638" max="5641" width="6" style="3" customWidth="1"/>
    <col min="5642" max="5642" width="9" style="3" customWidth="1"/>
    <col min="5643" max="5643" width="7.59765625" style="3" customWidth="1"/>
    <col min="5644" max="5650" width="8" style="3" customWidth="1"/>
    <col min="5651" max="5651" width="6.69921875" style="3" customWidth="1"/>
    <col min="5652" max="5888" width="9" style="3" customWidth="1"/>
    <col min="5889" max="5889" width="7.5" style="3" customWidth="1"/>
    <col min="5890" max="5890" width="9.5" style="3" customWidth="1"/>
    <col min="5891" max="5893" width="5.59765625" style="3" customWidth="1"/>
    <col min="5894" max="5897" width="6" style="3" customWidth="1"/>
    <col min="5898" max="5898" width="9" style="3" customWidth="1"/>
    <col min="5899" max="5899" width="7.59765625" style="3" customWidth="1"/>
    <col min="5900" max="5906" width="8" style="3" customWidth="1"/>
    <col min="5907" max="5907" width="6.69921875" style="3" customWidth="1"/>
    <col min="5908" max="6144" width="9" style="3" customWidth="1"/>
    <col min="6145" max="6145" width="7.5" style="3" customWidth="1"/>
    <col min="6146" max="6146" width="9.5" style="3" customWidth="1"/>
    <col min="6147" max="6149" width="5.59765625" style="3" customWidth="1"/>
    <col min="6150" max="6153" width="6" style="3" customWidth="1"/>
    <col min="6154" max="6154" width="9" style="3" customWidth="1"/>
    <col min="6155" max="6155" width="7.59765625" style="3" customWidth="1"/>
    <col min="6156" max="6162" width="8" style="3" customWidth="1"/>
    <col min="6163" max="6163" width="6.69921875" style="3" customWidth="1"/>
    <col min="6164" max="6400" width="9" style="3" customWidth="1"/>
    <col min="6401" max="6401" width="7.5" style="3" customWidth="1"/>
    <col min="6402" max="6402" width="9.5" style="3" customWidth="1"/>
    <col min="6403" max="6405" width="5.59765625" style="3" customWidth="1"/>
    <col min="6406" max="6409" width="6" style="3" customWidth="1"/>
    <col min="6410" max="6410" width="9" style="3" customWidth="1"/>
    <col min="6411" max="6411" width="7.59765625" style="3" customWidth="1"/>
    <col min="6412" max="6418" width="8" style="3" customWidth="1"/>
    <col min="6419" max="6419" width="6.69921875" style="3" customWidth="1"/>
    <col min="6420" max="6656" width="9" style="3" customWidth="1"/>
    <col min="6657" max="6657" width="7.5" style="3" customWidth="1"/>
    <col min="6658" max="6658" width="9.5" style="3" customWidth="1"/>
    <col min="6659" max="6661" width="5.59765625" style="3" customWidth="1"/>
    <col min="6662" max="6665" width="6" style="3" customWidth="1"/>
    <col min="6666" max="6666" width="9" style="3" customWidth="1"/>
    <col min="6667" max="6667" width="7.59765625" style="3" customWidth="1"/>
    <col min="6668" max="6674" width="8" style="3" customWidth="1"/>
    <col min="6675" max="6675" width="6.69921875" style="3" customWidth="1"/>
    <col min="6676" max="6912" width="9" style="3" customWidth="1"/>
    <col min="6913" max="6913" width="7.5" style="3" customWidth="1"/>
    <col min="6914" max="6914" width="9.5" style="3" customWidth="1"/>
    <col min="6915" max="6917" width="5.59765625" style="3" customWidth="1"/>
    <col min="6918" max="6921" width="6" style="3" customWidth="1"/>
    <col min="6922" max="6922" width="9" style="3" customWidth="1"/>
    <col min="6923" max="6923" width="7.59765625" style="3" customWidth="1"/>
    <col min="6924" max="6930" width="8" style="3" customWidth="1"/>
    <col min="6931" max="6931" width="6.69921875" style="3" customWidth="1"/>
    <col min="6932" max="7168" width="9" style="3" customWidth="1"/>
    <col min="7169" max="7169" width="7.5" style="3" customWidth="1"/>
    <col min="7170" max="7170" width="9.5" style="3" customWidth="1"/>
    <col min="7171" max="7173" width="5.59765625" style="3" customWidth="1"/>
    <col min="7174" max="7177" width="6" style="3" customWidth="1"/>
    <col min="7178" max="7178" width="9" style="3" customWidth="1"/>
    <col min="7179" max="7179" width="7.59765625" style="3" customWidth="1"/>
    <col min="7180" max="7186" width="8" style="3" customWidth="1"/>
    <col min="7187" max="7187" width="6.69921875" style="3" customWidth="1"/>
    <col min="7188" max="7424" width="9" style="3" customWidth="1"/>
    <col min="7425" max="7425" width="7.5" style="3" customWidth="1"/>
    <col min="7426" max="7426" width="9.5" style="3" customWidth="1"/>
    <col min="7427" max="7429" width="5.59765625" style="3" customWidth="1"/>
    <col min="7430" max="7433" width="6" style="3" customWidth="1"/>
    <col min="7434" max="7434" width="9" style="3" customWidth="1"/>
    <col min="7435" max="7435" width="7.59765625" style="3" customWidth="1"/>
    <col min="7436" max="7442" width="8" style="3" customWidth="1"/>
    <col min="7443" max="7443" width="6.69921875" style="3" customWidth="1"/>
    <col min="7444" max="7680" width="9" style="3" customWidth="1"/>
    <col min="7681" max="7681" width="7.5" style="3" customWidth="1"/>
    <col min="7682" max="7682" width="9.5" style="3" customWidth="1"/>
    <col min="7683" max="7685" width="5.59765625" style="3" customWidth="1"/>
    <col min="7686" max="7689" width="6" style="3" customWidth="1"/>
    <col min="7690" max="7690" width="9" style="3" customWidth="1"/>
    <col min="7691" max="7691" width="7.59765625" style="3" customWidth="1"/>
    <col min="7692" max="7698" width="8" style="3" customWidth="1"/>
    <col min="7699" max="7699" width="6.69921875" style="3" customWidth="1"/>
    <col min="7700" max="7936" width="9" style="3" customWidth="1"/>
    <col min="7937" max="7937" width="7.5" style="3" customWidth="1"/>
    <col min="7938" max="7938" width="9.5" style="3" customWidth="1"/>
    <col min="7939" max="7941" width="5.59765625" style="3" customWidth="1"/>
    <col min="7942" max="7945" width="6" style="3" customWidth="1"/>
    <col min="7946" max="7946" width="9" style="3" customWidth="1"/>
    <col min="7947" max="7947" width="7.59765625" style="3" customWidth="1"/>
    <col min="7948" max="7954" width="8" style="3" customWidth="1"/>
    <col min="7955" max="7955" width="6.69921875" style="3" customWidth="1"/>
    <col min="7956" max="8192" width="9" style="3" customWidth="1"/>
    <col min="8193" max="8193" width="7.5" style="3" customWidth="1"/>
    <col min="8194" max="8194" width="9.5" style="3" customWidth="1"/>
    <col min="8195" max="8197" width="5.59765625" style="3" customWidth="1"/>
    <col min="8198" max="8201" width="6" style="3" customWidth="1"/>
    <col min="8202" max="8202" width="9" style="3" customWidth="1"/>
    <col min="8203" max="8203" width="7.59765625" style="3" customWidth="1"/>
    <col min="8204" max="8210" width="8" style="3" customWidth="1"/>
    <col min="8211" max="8211" width="6.69921875" style="3" customWidth="1"/>
    <col min="8212" max="8448" width="9" style="3" customWidth="1"/>
    <col min="8449" max="8449" width="7.5" style="3" customWidth="1"/>
    <col min="8450" max="8450" width="9.5" style="3" customWidth="1"/>
    <col min="8451" max="8453" width="5.59765625" style="3" customWidth="1"/>
    <col min="8454" max="8457" width="6" style="3" customWidth="1"/>
    <col min="8458" max="8458" width="9" style="3" customWidth="1"/>
    <col min="8459" max="8459" width="7.59765625" style="3" customWidth="1"/>
    <col min="8460" max="8466" width="8" style="3" customWidth="1"/>
    <col min="8467" max="8467" width="6.69921875" style="3" customWidth="1"/>
    <col min="8468" max="8704" width="9" style="3" customWidth="1"/>
    <col min="8705" max="8705" width="7.5" style="3" customWidth="1"/>
    <col min="8706" max="8706" width="9.5" style="3" customWidth="1"/>
    <col min="8707" max="8709" width="5.59765625" style="3" customWidth="1"/>
    <col min="8710" max="8713" width="6" style="3" customWidth="1"/>
    <col min="8714" max="8714" width="9" style="3" customWidth="1"/>
    <col min="8715" max="8715" width="7.59765625" style="3" customWidth="1"/>
    <col min="8716" max="8722" width="8" style="3" customWidth="1"/>
    <col min="8723" max="8723" width="6.69921875" style="3" customWidth="1"/>
    <col min="8724" max="8960" width="9" style="3" customWidth="1"/>
    <col min="8961" max="8961" width="7.5" style="3" customWidth="1"/>
    <col min="8962" max="8962" width="9.5" style="3" customWidth="1"/>
    <col min="8963" max="8965" width="5.59765625" style="3" customWidth="1"/>
    <col min="8966" max="8969" width="6" style="3" customWidth="1"/>
    <col min="8970" max="8970" width="9" style="3" customWidth="1"/>
    <col min="8971" max="8971" width="7.59765625" style="3" customWidth="1"/>
    <col min="8972" max="8978" width="8" style="3" customWidth="1"/>
    <col min="8979" max="8979" width="6.69921875" style="3" customWidth="1"/>
    <col min="8980" max="9216" width="9" style="3" customWidth="1"/>
    <col min="9217" max="9217" width="7.5" style="3" customWidth="1"/>
    <col min="9218" max="9218" width="9.5" style="3" customWidth="1"/>
    <col min="9219" max="9221" width="5.59765625" style="3" customWidth="1"/>
    <col min="9222" max="9225" width="6" style="3" customWidth="1"/>
    <col min="9226" max="9226" width="9" style="3" customWidth="1"/>
    <col min="9227" max="9227" width="7.59765625" style="3" customWidth="1"/>
    <col min="9228" max="9234" width="8" style="3" customWidth="1"/>
    <col min="9235" max="9235" width="6.69921875" style="3" customWidth="1"/>
    <col min="9236" max="9472" width="9" style="3" customWidth="1"/>
    <col min="9473" max="9473" width="7.5" style="3" customWidth="1"/>
    <col min="9474" max="9474" width="9.5" style="3" customWidth="1"/>
    <col min="9475" max="9477" width="5.59765625" style="3" customWidth="1"/>
    <col min="9478" max="9481" width="6" style="3" customWidth="1"/>
    <col min="9482" max="9482" width="9" style="3" customWidth="1"/>
    <col min="9483" max="9483" width="7.59765625" style="3" customWidth="1"/>
    <col min="9484" max="9490" width="8" style="3" customWidth="1"/>
    <col min="9491" max="9491" width="6.69921875" style="3" customWidth="1"/>
    <col min="9492" max="9728" width="9" style="3" customWidth="1"/>
    <col min="9729" max="9729" width="7.5" style="3" customWidth="1"/>
    <col min="9730" max="9730" width="9.5" style="3" customWidth="1"/>
    <col min="9731" max="9733" width="5.59765625" style="3" customWidth="1"/>
    <col min="9734" max="9737" width="6" style="3" customWidth="1"/>
    <col min="9738" max="9738" width="9" style="3" customWidth="1"/>
    <col min="9739" max="9739" width="7.59765625" style="3" customWidth="1"/>
    <col min="9740" max="9746" width="8" style="3" customWidth="1"/>
    <col min="9747" max="9747" width="6.69921875" style="3" customWidth="1"/>
    <col min="9748" max="9984" width="9" style="3" customWidth="1"/>
    <col min="9985" max="9985" width="7.5" style="3" customWidth="1"/>
    <col min="9986" max="9986" width="9.5" style="3" customWidth="1"/>
    <col min="9987" max="9989" width="5.59765625" style="3" customWidth="1"/>
    <col min="9990" max="9993" width="6" style="3" customWidth="1"/>
    <col min="9994" max="9994" width="9" style="3" customWidth="1"/>
    <col min="9995" max="9995" width="7.59765625" style="3" customWidth="1"/>
    <col min="9996" max="10002" width="8" style="3" customWidth="1"/>
    <col min="10003" max="10003" width="6.69921875" style="3" customWidth="1"/>
    <col min="10004" max="10240" width="9" style="3" customWidth="1"/>
    <col min="10241" max="10241" width="7.5" style="3" customWidth="1"/>
    <col min="10242" max="10242" width="9.5" style="3" customWidth="1"/>
    <col min="10243" max="10245" width="5.59765625" style="3" customWidth="1"/>
    <col min="10246" max="10249" width="6" style="3" customWidth="1"/>
    <col min="10250" max="10250" width="9" style="3" customWidth="1"/>
    <col min="10251" max="10251" width="7.59765625" style="3" customWidth="1"/>
    <col min="10252" max="10258" width="8" style="3" customWidth="1"/>
    <col min="10259" max="10259" width="6.69921875" style="3" customWidth="1"/>
    <col min="10260" max="10496" width="9" style="3" customWidth="1"/>
    <col min="10497" max="10497" width="7.5" style="3" customWidth="1"/>
    <col min="10498" max="10498" width="9.5" style="3" customWidth="1"/>
    <col min="10499" max="10501" width="5.59765625" style="3" customWidth="1"/>
    <col min="10502" max="10505" width="6" style="3" customWidth="1"/>
    <col min="10506" max="10506" width="9" style="3" customWidth="1"/>
    <col min="10507" max="10507" width="7.59765625" style="3" customWidth="1"/>
    <col min="10508" max="10514" width="8" style="3" customWidth="1"/>
    <col min="10515" max="10515" width="6.69921875" style="3" customWidth="1"/>
    <col min="10516" max="10752" width="9" style="3" customWidth="1"/>
    <col min="10753" max="10753" width="7.5" style="3" customWidth="1"/>
    <col min="10754" max="10754" width="9.5" style="3" customWidth="1"/>
    <col min="10755" max="10757" width="5.59765625" style="3" customWidth="1"/>
    <col min="10758" max="10761" width="6" style="3" customWidth="1"/>
    <col min="10762" max="10762" width="9" style="3" customWidth="1"/>
    <col min="10763" max="10763" width="7.59765625" style="3" customWidth="1"/>
    <col min="10764" max="10770" width="8" style="3" customWidth="1"/>
    <col min="10771" max="10771" width="6.69921875" style="3" customWidth="1"/>
    <col min="10772" max="11008" width="9" style="3" customWidth="1"/>
    <col min="11009" max="11009" width="7.5" style="3" customWidth="1"/>
    <col min="11010" max="11010" width="9.5" style="3" customWidth="1"/>
    <col min="11011" max="11013" width="5.59765625" style="3" customWidth="1"/>
    <col min="11014" max="11017" width="6" style="3" customWidth="1"/>
    <col min="11018" max="11018" width="9" style="3" customWidth="1"/>
    <col min="11019" max="11019" width="7.59765625" style="3" customWidth="1"/>
    <col min="11020" max="11026" width="8" style="3" customWidth="1"/>
    <col min="11027" max="11027" width="6.69921875" style="3" customWidth="1"/>
    <col min="11028" max="11264" width="9" style="3" customWidth="1"/>
    <col min="11265" max="11265" width="7.5" style="3" customWidth="1"/>
    <col min="11266" max="11266" width="9.5" style="3" customWidth="1"/>
    <col min="11267" max="11269" width="5.59765625" style="3" customWidth="1"/>
    <col min="11270" max="11273" width="6" style="3" customWidth="1"/>
    <col min="11274" max="11274" width="9" style="3" customWidth="1"/>
    <col min="11275" max="11275" width="7.59765625" style="3" customWidth="1"/>
    <col min="11276" max="11282" width="8" style="3" customWidth="1"/>
    <col min="11283" max="11283" width="6.69921875" style="3" customWidth="1"/>
    <col min="11284" max="11520" width="9" style="3" customWidth="1"/>
    <col min="11521" max="11521" width="7.5" style="3" customWidth="1"/>
    <col min="11522" max="11522" width="9.5" style="3" customWidth="1"/>
    <col min="11523" max="11525" width="5.59765625" style="3" customWidth="1"/>
    <col min="11526" max="11529" width="6" style="3" customWidth="1"/>
    <col min="11530" max="11530" width="9" style="3" customWidth="1"/>
    <col min="11531" max="11531" width="7.59765625" style="3" customWidth="1"/>
    <col min="11532" max="11538" width="8" style="3" customWidth="1"/>
    <col min="11539" max="11539" width="6.69921875" style="3" customWidth="1"/>
    <col min="11540" max="11776" width="9" style="3" customWidth="1"/>
    <col min="11777" max="11777" width="7.5" style="3" customWidth="1"/>
    <col min="11778" max="11778" width="9.5" style="3" customWidth="1"/>
    <col min="11779" max="11781" width="5.59765625" style="3" customWidth="1"/>
    <col min="11782" max="11785" width="6" style="3" customWidth="1"/>
    <col min="11786" max="11786" width="9" style="3" customWidth="1"/>
    <col min="11787" max="11787" width="7.59765625" style="3" customWidth="1"/>
    <col min="11788" max="11794" width="8" style="3" customWidth="1"/>
    <col min="11795" max="11795" width="6.69921875" style="3" customWidth="1"/>
    <col min="11796" max="12032" width="9" style="3" customWidth="1"/>
    <col min="12033" max="12033" width="7.5" style="3" customWidth="1"/>
    <col min="12034" max="12034" width="9.5" style="3" customWidth="1"/>
    <col min="12035" max="12037" width="5.59765625" style="3" customWidth="1"/>
    <col min="12038" max="12041" width="6" style="3" customWidth="1"/>
    <col min="12042" max="12042" width="9" style="3" customWidth="1"/>
    <col min="12043" max="12043" width="7.59765625" style="3" customWidth="1"/>
    <col min="12044" max="12050" width="8" style="3" customWidth="1"/>
    <col min="12051" max="12051" width="6.69921875" style="3" customWidth="1"/>
    <col min="12052" max="12288" width="9" style="3" customWidth="1"/>
    <col min="12289" max="12289" width="7.5" style="3" customWidth="1"/>
    <col min="12290" max="12290" width="9.5" style="3" customWidth="1"/>
    <col min="12291" max="12293" width="5.59765625" style="3" customWidth="1"/>
    <col min="12294" max="12297" width="6" style="3" customWidth="1"/>
    <col min="12298" max="12298" width="9" style="3" customWidth="1"/>
    <col min="12299" max="12299" width="7.59765625" style="3" customWidth="1"/>
    <col min="12300" max="12306" width="8" style="3" customWidth="1"/>
    <col min="12307" max="12307" width="6.69921875" style="3" customWidth="1"/>
    <col min="12308" max="12544" width="9" style="3" customWidth="1"/>
    <col min="12545" max="12545" width="7.5" style="3" customWidth="1"/>
    <col min="12546" max="12546" width="9.5" style="3" customWidth="1"/>
    <col min="12547" max="12549" width="5.59765625" style="3" customWidth="1"/>
    <col min="12550" max="12553" width="6" style="3" customWidth="1"/>
    <col min="12554" max="12554" width="9" style="3" customWidth="1"/>
    <col min="12555" max="12555" width="7.59765625" style="3" customWidth="1"/>
    <col min="12556" max="12562" width="8" style="3" customWidth="1"/>
    <col min="12563" max="12563" width="6.69921875" style="3" customWidth="1"/>
    <col min="12564" max="12800" width="9" style="3" customWidth="1"/>
    <col min="12801" max="12801" width="7.5" style="3" customWidth="1"/>
    <col min="12802" max="12802" width="9.5" style="3" customWidth="1"/>
    <col min="12803" max="12805" width="5.59765625" style="3" customWidth="1"/>
    <col min="12806" max="12809" width="6" style="3" customWidth="1"/>
    <col min="12810" max="12810" width="9" style="3" customWidth="1"/>
    <col min="12811" max="12811" width="7.59765625" style="3" customWidth="1"/>
    <col min="12812" max="12818" width="8" style="3" customWidth="1"/>
    <col min="12819" max="12819" width="6.69921875" style="3" customWidth="1"/>
    <col min="12820" max="13056" width="9" style="3" customWidth="1"/>
    <col min="13057" max="13057" width="7.5" style="3" customWidth="1"/>
    <col min="13058" max="13058" width="9.5" style="3" customWidth="1"/>
    <col min="13059" max="13061" width="5.59765625" style="3" customWidth="1"/>
    <col min="13062" max="13065" width="6" style="3" customWidth="1"/>
    <col min="13066" max="13066" width="9" style="3" customWidth="1"/>
    <col min="13067" max="13067" width="7.59765625" style="3" customWidth="1"/>
    <col min="13068" max="13074" width="8" style="3" customWidth="1"/>
    <col min="13075" max="13075" width="6.69921875" style="3" customWidth="1"/>
    <col min="13076" max="13312" width="9" style="3" customWidth="1"/>
    <col min="13313" max="13313" width="7.5" style="3" customWidth="1"/>
    <col min="13314" max="13314" width="9.5" style="3" customWidth="1"/>
    <col min="13315" max="13317" width="5.59765625" style="3" customWidth="1"/>
    <col min="13318" max="13321" width="6" style="3" customWidth="1"/>
    <col min="13322" max="13322" width="9" style="3" customWidth="1"/>
    <col min="13323" max="13323" width="7.59765625" style="3" customWidth="1"/>
    <col min="13324" max="13330" width="8" style="3" customWidth="1"/>
    <col min="13331" max="13331" width="6.69921875" style="3" customWidth="1"/>
    <col min="13332" max="13568" width="9" style="3" customWidth="1"/>
    <col min="13569" max="13569" width="7.5" style="3" customWidth="1"/>
    <col min="13570" max="13570" width="9.5" style="3" customWidth="1"/>
    <col min="13571" max="13573" width="5.59765625" style="3" customWidth="1"/>
    <col min="13574" max="13577" width="6" style="3" customWidth="1"/>
    <col min="13578" max="13578" width="9" style="3" customWidth="1"/>
    <col min="13579" max="13579" width="7.59765625" style="3" customWidth="1"/>
    <col min="13580" max="13586" width="8" style="3" customWidth="1"/>
    <col min="13587" max="13587" width="6.69921875" style="3" customWidth="1"/>
    <col min="13588" max="13824" width="9" style="3" customWidth="1"/>
    <col min="13825" max="13825" width="7.5" style="3" customWidth="1"/>
    <col min="13826" max="13826" width="9.5" style="3" customWidth="1"/>
    <col min="13827" max="13829" width="5.59765625" style="3" customWidth="1"/>
    <col min="13830" max="13833" width="6" style="3" customWidth="1"/>
    <col min="13834" max="13834" width="9" style="3" customWidth="1"/>
    <col min="13835" max="13835" width="7.59765625" style="3" customWidth="1"/>
    <col min="13836" max="13842" width="8" style="3" customWidth="1"/>
    <col min="13843" max="13843" width="6.69921875" style="3" customWidth="1"/>
    <col min="13844" max="14080" width="9" style="3" customWidth="1"/>
    <col min="14081" max="14081" width="7.5" style="3" customWidth="1"/>
    <col min="14082" max="14082" width="9.5" style="3" customWidth="1"/>
    <col min="14083" max="14085" width="5.59765625" style="3" customWidth="1"/>
    <col min="14086" max="14089" width="6" style="3" customWidth="1"/>
    <col min="14090" max="14090" width="9" style="3" customWidth="1"/>
    <col min="14091" max="14091" width="7.59765625" style="3" customWidth="1"/>
    <col min="14092" max="14098" width="8" style="3" customWidth="1"/>
    <col min="14099" max="14099" width="6.69921875" style="3" customWidth="1"/>
    <col min="14100" max="14336" width="9" style="3" customWidth="1"/>
    <col min="14337" max="14337" width="7.5" style="3" customWidth="1"/>
    <col min="14338" max="14338" width="9.5" style="3" customWidth="1"/>
    <col min="14339" max="14341" width="5.59765625" style="3" customWidth="1"/>
    <col min="14342" max="14345" width="6" style="3" customWidth="1"/>
    <col min="14346" max="14346" width="9" style="3" customWidth="1"/>
    <col min="14347" max="14347" width="7.59765625" style="3" customWidth="1"/>
    <col min="14348" max="14354" width="8" style="3" customWidth="1"/>
    <col min="14355" max="14355" width="6.69921875" style="3" customWidth="1"/>
    <col min="14356" max="14592" width="9" style="3" customWidth="1"/>
    <col min="14593" max="14593" width="7.5" style="3" customWidth="1"/>
    <col min="14594" max="14594" width="9.5" style="3" customWidth="1"/>
    <col min="14595" max="14597" width="5.59765625" style="3" customWidth="1"/>
    <col min="14598" max="14601" width="6" style="3" customWidth="1"/>
    <col min="14602" max="14602" width="9" style="3" customWidth="1"/>
    <col min="14603" max="14603" width="7.59765625" style="3" customWidth="1"/>
    <col min="14604" max="14610" width="8" style="3" customWidth="1"/>
    <col min="14611" max="14611" width="6.69921875" style="3" customWidth="1"/>
    <col min="14612" max="14848" width="9" style="3" customWidth="1"/>
    <col min="14849" max="14849" width="7.5" style="3" customWidth="1"/>
    <col min="14850" max="14850" width="9.5" style="3" customWidth="1"/>
    <col min="14851" max="14853" width="5.59765625" style="3" customWidth="1"/>
    <col min="14854" max="14857" width="6" style="3" customWidth="1"/>
    <col min="14858" max="14858" width="9" style="3" customWidth="1"/>
    <col min="14859" max="14859" width="7.59765625" style="3" customWidth="1"/>
    <col min="14860" max="14866" width="8" style="3" customWidth="1"/>
    <col min="14867" max="14867" width="6.69921875" style="3" customWidth="1"/>
    <col min="14868" max="15104" width="9" style="3" customWidth="1"/>
    <col min="15105" max="15105" width="7.5" style="3" customWidth="1"/>
    <col min="15106" max="15106" width="9.5" style="3" customWidth="1"/>
    <col min="15107" max="15109" width="5.59765625" style="3" customWidth="1"/>
    <col min="15110" max="15113" width="6" style="3" customWidth="1"/>
    <col min="15114" max="15114" width="9" style="3" customWidth="1"/>
    <col min="15115" max="15115" width="7.59765625" style="3" customWidth="1"/>
    <col min="15116" max="15122" width="8" style="3" customWidth="1"/>
    <col min="15123" max="15123" width="6.69921875" style="3" customWidth="1"/>
    <col min="15124" max="15360" width="9" style="3" customWidth="1"/>
    <col min="15361" max="15361" width="7.5" style="3" customWidth="1"/>
    <col min="15362" max="15362" width="9.5" style="3" customWidth="1"/>
    <col min="15363" max="15365" width="5.59765625" style="3" customWidth="1"/>
    <col min="15366" max="15369" width="6" style="3" customWidth="1"/>
    <col min="15370" max="15370" width="9" style="3" customWidth="1"/>
    <col min="15371" max="15371" width="7.59765625" style="3" customWidth="1"/>
    <col min="15372" max="15378" width="8" style="3" customWidth="1"/>
    <col min="15379" max="15379" width="6.69921875" style="3" customWidth="1"/>
    <col min="15380" max="15616" width="9" style="3" customWidth="1"/>
    <col min="15617" max="15617" width="7.5" style="3" customWidth="1"/>
    <col min="15618" max="15618" width="9.5" style="3" customWidth="1"/>
    <col min="15619" max="15621" width="5.59765625" style="3" customWidth="1"/>
    <col min="15622" max="15625" width="6" style="3" customWidth="1"/>
    <col min="15626" max="15626" width="9" style="3" customWidth="1"/>
    <col min="15627" max="15627" width="7.59765625" style="3" customWidth="1"/>
    <col min="15628" max="15634" width="8" style="3" customWidth="1"/>
    <col min="15635" max="15635" width="6.69921875" style="3" customWidth="1"/>
    <col min="15636" max="15872" width="9" style="3" customWidth="1"/>
    <col min="15873" max="15873" width="7.5" style="3" customWidth="1"/>
    <col min="15874" max="15874" width="9.5" style="3" customWidth="1"/>
    <col min="15875" max="15877" width="5.59765625" style="3" customWidth="1"/>
    <col min="15878" max="15881" width="6" style="3" customWidth="1"/>
    <col min="15882" max="15882" width="9" style="3" customWidth="1"/>
    <col min="15883" max="15883" width="7.59765625" style="3" customWidth="1"/>
    <col min="15884" max="15890" width="8" style="3" customWidth="1"/>
    <col min="15891" max="15891" width="6.69921875" style="3" customWidth="1"/>
    <col min="15892" max="16128" width="9" style="3" customWidth="1"/>
    <col min="16129" max="16129" width="7.5" style="3" customWidth="1"/>
    <col min="16130" max="16130" width="9.5" style="3" customWidth="1"/>
    <col min="16131" max="16133" width="5.59765625" style="3" customWidth="1"/>
    <col min="16134" max="16137" width="6" style="3" customWidth="1"/>
    <col min="16138" max="16138" width="9" style="3" customWidth="1"/>
    <col min="16139" max="16139" width="7.59765625" style="3" customWidth="1"/>
    <col min="16140" max="16146" width="8" style="3" customWidth="1"/>
    <col min="16147" max="16147" width="6.69921875" style="3" customWidth="1"/>
    <col min="16148" max="16384" width="9" style="3" customWidth="1"/>
  </cols>
  <sheetData>
    <row r="1" ht="27" customHeight="1" spans="1:25" x14ac:dyDescent="0.25">
      <c r="A1" s="173" t="s">
        <v>25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3"/>
      <c r="T1" s="3"/>
      <c r="U1" s="3"/>
      <c r="V1" s="3"/>
      <c r="W1" s="3"/>
      <c r="X1" s="3"/>
      <c r="Y1" s="3"/>
    </row>
    <row r="2" ht="12" customHeight="1" spans="1:25" x14ac:dyDescent="0.25">
      <c r="A2" s="158" t="s">
        <v>26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3"/>
      <c r="T2" s="3"/>
      <c r="U2" s="3"/>
      <c r="V2" s="3"/>
      <c r="W2" s="3"/>
      <c r="X2" s="3"/>
      <c r="Y2" s="3"/>
    </row>
    <row r="3" ht="5.2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s="3" customFormat="1" x14ac:dyDescent="0.25">
      <c r="A4" s="174" t="s">
        <v>60</v>
      </c>
      <c r="B4" s="174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3"/>
      <c r="T4" s="3"/>
      <c r="U4" s="3"/>
      <c r="V4" s="3"/>
      <c r="W4" s="3"/>
      <c r="X4" s="3"/>
      <c r="Y4" s="3"/>
    </row>
    <row r="5" ht="4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7.4" customHeight="1" spans="1:25" x14ac:dyDescent="0.25">
      <c r="A6" s="3" t="s">
        <v>61</v>
      </c>
      <c r="B6" s="138" t="s">
        <v>3</v>
      </c>
      <c r="C6" s="3"/>
      <c r="D6" s="3"/>
      <c r="E6" s="3"/>
      <c r="F6" s="3"/>
      <c r="G6" s="3"/>
      <c r="H6" s="158" t="s">
        <v>62</v>
      </c>
      <c r="I6" s="158"/>
      <c r="J6" s="138" t="s">
        <v>77</v>
      </c>
      <c r="K6" s="158"/>
      <c r="L6" s="3"/>
      <c r="M6" s="3"/>
      <c r="N6" s="3"/>
      <c r="O6" s="175" t="s">
        <v>64</v>
      </c>
      <c r="P6" s="572">
        <v>46228</v>
      </c>
      <c r="Q6" s="158"/>
      <c r="R6" s="158"/>
      <c r="S6" s="3"/>
      <c r="T6" s="3"/>
      <c r="U6" s="3"/>
      <c r="V6" s="3"/>
      <c r="W6" s="3"/>
      <c r="X6" s="3"/>
      <c r="Y6" s="3"/>
    </row>
    <row r="7" ht="11.25" customHeight="1" spans="1:2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7.4" customHeight="1" spans="1:25" x14ac:dyDescent="0.25">
      <c r="A8" s="175" t="s">
        <v>65</v>
      </c>
      <c r="B8" s="138" t="s">
        <v>26</v>
      </c>
      <c r="C8" s="175"/>
      <c r="D8" s="175"/>
      <c r="E8" s="175"/>
      <c r="F8" s="3"/>
      <c r="G8" s="3"/>
      <c r="H8" s="158" t="s">
        <v>66</v>
      </c>
      <c r="I8" s="158"/>
      <c r="J8" s="138" t="s">
        <v>67</v>
      </c>
      <c r="K8" s="158"/>
      <c r="L8" s="3"/>
      <c r="M8" s="3"/>
      <c r="N8" s="3"/>
      <c r="O8" s="175" t="s">
        <v>78</v>
      </c>
      <c r="P8" s="138">
        <v>8</v>
      </c>
      <c r="Q8" s="158"/>
      <c r="R8" s="158"/>
      <c r="S8" s="3"/>
      <c r="T8" s="3"/>
      <c r="U8" s="3"/>
      <c r="V8" s="3"/>
      <c r="W8" s="3"/>
      <c r="X8" s="3"/>
      <c r="Y8" s="3"/>
    </row>
    <row r="9" ht="6.7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6.2" customHeight="1" spans="1:25" x14ac:dyDescent="0.25">
      <c r="A10" s="179" t="s">
        <v>11</v>
      </c>
      <c r="B10" s="179" t="s">
        <v>45</v>
      </c>
      <c r="C10" s="233" t="s">
        <v>69</v>
      </c>
      <c r="D10" s="171"/>
      <c r="E10" s="234"/>
      <c r="F10" s="233" t="s">
        <v>70</v>
      </c>
      <c r="G10" s="171"/>
      <c r="H10" s="171"/>
      <c r="I10" s="234"/>
      <c r="J10" s="179" t="s">
        <v>71</v>
      </c>
      <c r="K10" s="179" t="s">
        <v>72</v>
      </c>
      <c r="L10" s="233" t="s">
        <v>79</v>
      </c>
      <c r="M10" s="171"/>
      <c r="N10" s="171"/>
      <c r="O10" s="171"/>
      <c r="P10" s="171"/>
      <c r="Q10" s="171"/>
      <c r="R10" s="234"/>
      <c r="S10" s="3"/>
      <c r="T10" s="3"/>
      <c r="U10" s="3"/>
      <c r="V10" s="3"/>
      <c r="W10" s="3"/>
      <c r="X10" s="3"/>
      <c r="Y10" s="3"/>
    </row>
    <row r="11" ht="16.2" customHeight="1" spans="1:25" x14ac:dyDescent="0.25">
      <c r="A11" s="182"/>
      <c r="B11" s="182"/>
      <c r="C11" s="235"/>
      <c r="D11" s="236"/>
      <c r="E11" s="237"/>
      <c r="F11" s="235"/>
      <c r="G11" s="236"/>
      <c r="H11" s="236"/>
      <c r="I11" s="237"/>
      <c r="J11" s="182" t="s">
        <v>54</v>
      </c>
      <c r="K11" s="182"/>
      <c r="L11" s="235"/>
      <c r="M11" s="236"/>
      <c r="N11" s="236"/>
      <c r="O11" s="236"/>
      <c r="P11" s="236"/>
      <c r="Q11" s="236"/>
      <c r="R11" s="237"/>
      <c r="S11" s="3"/>
      <c r="T11" s="3"/>
      <c r="U11" s="3"/>
      <c r="V11" s="3"/>
      <c r="W11" s="3"/>
      <c r="X11" s="3"/>
      <c r="Y11" s="3"/>
    </row>
    <row r="12" ht="18" customHeight="1" spans="1:25" x14ac:dyDescent="0.25">
      <c r="A12" s="221"/>
      <c r="B12" s="221"/>
      <c r="C12" s="184"/>
      <c r="D12" s="238"/>
      <c r="E12" s="185"/>
      <c r="F12" s="184"/>
      <c r="G12" s="238"/>
      <c r="H12" s="238"/>
      <c r="I12" s="185"/>
      <c r="J12" s="221"/>
      <c r="K12" s="221"/>
      <c r="L12" s="262"/>
      <c r="M12" s="263"/>
      <c r="N12" s="263"/>
      <c r="O12" s="263"/>
      <c r="P12" s="263"/>
      <c r="Q12" s="263"/>
      <c r="R12" s="264"/>
      <c r="S12" s="3"/>
      <c r="T12" s="3"/>
      <c r="U12" s="3"/>
      <c r="V12" s="3"/>
      <c r="W12" s="3"/>
      <c r="X12" s="3"/>
      <c r="Y12" s="3"/>
    </row>
    <row r="13" ht="18" customHeight="1" spans="1:25" x14ac:dyDescent="0.25">
      <c r="A13" s="240"/>
      <c r="B13" s="240"/>
      <c r="C13" s="139"/>
      <c r="D13" s="216"/>
      <c r="E13" s="146"/>
      <c r="F13" s="139"/>
      <c r="G13" s="216"/>
      <c r="H13" s="216"/>
      <c r="I13" s="146"/>
      <c r="J13" s="240"/>
      <c r="K13" s="240"/>
      <c r="L13" s="141"/>
      <c r="M13" s="141"/>
      <c r="N13" s="141"/>
      <c r="O13" s="141"/>
      <c r="P13" s="141"/>
      <c r="Q13" s="141"/>
      <c r="R13" s="141"/>
      <c r="S13" s="3"/>
      <c r="T13" s="3"/>
      <c r="U13" s="3"/>
      <c r="V13" s="3"/>
      <c r="W13" s="3"/>
      <c r="X13" s="3"/>
      <c r="Y13" s="3"/>
    </row>
    <row r="14" ht="18" customHeight="1" spans="1:25" x14ac:dyDescent="0.25">
      <c r="A14" s="240"/>
      <c r="B14" s="240"/>
      <c r="C14" s="139"/>
      <c r="D14" s="216"/>
      <c r="E14" s="146"/>
      <c r="F14" s="139"/>
      <c r="G14" s="216"/>
      <c r="H14" s="216"/>
      <c r="I14" s="146"/>
      <c r="J14" s="240"/>
      <c r="K14" s="240"/>
      <c r="L14" s="141"/>
      <c r="M14" s="141"/>
      <c r="N14" s="141"/>
      <c r="O14" s="141"/>
      <c r="P14" s="141"/>
      <c r="Q14" s="141"/>
      <c r="R14" s="141"/>
      <c r="S14" s="3"/>
      <c r="T14" s="3"/>
      <c r="U14" s="3"/>
      <c r="V14" s="3"/>
      <c r="W14" s="3"/>
      <c r="X14" s="3"/>
      <c r="Y14" s="3"/>
    </row>
    <row r="15" ht="18" customHeight="1" spans="1:25" x14ac:dyDescent="0.25">
      <c r="A15" s="240"/>
      <c r="B15" s="240"/>
      <c r="C15" s="139"/>
      <c r="D15" s="216"/>
      <c r="E15" s="146"/>
      <c r="F15" s="139"/>
      <c r="G15" s="216"/>
      <c r="H15" s="216"/>
      <c r="I15" s="146"/>
      <c r="J15" s="240"/>
      <c r="K15" s="240"/>
      <c r="L15" s="141"/>
      <c r="M15" s="141"/>
      <c r="N15" s="141"/>
      <c r="O15" s="141"/>
      <c r="P15" s="141"/>
      <c r="Q15" s="141"/>
      <c r="R15" s="141"/>
      <c r="S15" s="3"/>
      <c r="T15" s="3"/>
      <c r="U15" s="3"/>
      <c r="V15" s="3"/>
      <c r="W15" s="3"/>
      <c r="X15" s="3"/>
      <c r="Y15" s="3"/>
    </row>
    <row r="16" ht="18" customHeight="1" spans="1:25" x14ac:dyDescent="0.25">
      <c r="A16" s="240"/>
      <c r="B16" s="240"/>
      <c r="C16" s="139"/>
      <c r="D16" s="216"/>
      <c r="E16" s="146"/>
      <c r="F16" s="139"/>
      <c r="G16" s="216"/>
      <c r="H16" s="216"/>
      <c r="I16" s="146"/>
      <c r="J16" s="240"/>
      <c r="K16" s="240"/>
      <c r="L16" s="141"/>
      <c r="M16" s="141"/>
      <c r="N16" s="141"/>
      <c r="O16" s="141"/>
      <c r="P16" s="141"/>
      <c r="Q16" s="141"/>
      <c r="R16" s="141"/>
      <c r="S16" s="3"/>
      <c r="T16" s="3"/>
      <c r="U16" s="3"/>
      <c r="V16" s="3"/>
      <c r="W16" s="3"/>
      <c r="X16" s="3"/>
      <c r="Y16" s="3"/>
    </row>
    <row r="17" ht="18" customHeight="1" spans="1:25" x14ac:dyDescent="0.25">
      <c r="A17" s="240"/>
      <c r="B17" s="240"/>
      <c r="C17" s="139"/>
      <c r="D17" s="216"/>
      <c r="E17" s="146"/>
      <c r="F17" s="139"/>
      <c r="G17" s="216"/>
      <c r="H17" s="216"/>
      <c r="I17" s="146"/>
      <c r="J17" s="240"/>
      <c r="K17" s="240"/>
      <c r="L17" s="141"/>
      <c r="M17" s="141"/>
      <c r="N17" s="141"/>
      <c r="O17" s="141"/>
      <c r="P17" s="141"/>
      <c r="Q17" s="141"/>
      <c r="R17" s="141"/>
      <c r="S17" s="3"/>
      <c r="T17" s="3"/>
      <c r="U17" s="3"/>
      <c r="V17" s="3"/>
      <c r="W17" s="3"/>
      <c r="X17" s="3"/>
      <c r="Y17" s="3"/>
    </row>
    <row r="18" ht="18" customHeight="1" spans="1:25" x14ac:dyDescent="0.25">
      <c r="A18" s="240"/>
      <c r="B18" s="240"/>
      <c r="C18" s="139"/>
      <c r="D18" s="216"/>
      <c r="E18" s="146"/>
      <c r="F18" s="139"/>
      <c r="G18" s="216"/>
      <c r="H18" s="216"/>
      <c r="I18" s="146"/>
      <c r="J18" s="240"/>
      <c r="K18" s="240"/>
      <c r="L18" s="141"/>
      <c r="M18" s="141"/>
      <c r="N18" s="141"/>
      <c r="O18" s="141"/>
      <c r="P18" s="141"/>
      <c r="Q18" s="141"/>
      <c r="R18" s="141"/>
      <c r="S18" s="3"/>
      <c r="T18" s="3"/>
      <c r="U18" s="3"/>
      <c r="V18" s="3"/>
      <c r="W18" s="3"/>
      <c r="X18" s="3"/>
      <c r="Y18" s="3"/>
    </row>
    <row r="19" ht="18" customHeight="1" spans="1:25" x14ac:dyDescent="0.25">
      <c r="A19" s="240"/>
      <c r="B19" s="240"/>
      <c r="C19" s="139"/>
      <c r="D19" s="216"/>
      <c r="E19" s="146"/>
      <c r="F19" s="139"/>
      <c r="G19" s="216"/>
      <c r="H19" s="216"/>
      <c r="I19" s="146"/>
      <c r="J19" s="240"/>
      <c r="K19" s="240"/>
      <c r="L19" s="141"/>
      <c r="M19" s="141"/>
      <c r="N19" s="141"/>
      <c r="O19" s="141"/>
      <c r="P19" s="141"/>
      <c r="Q19" s="141"/>
      <c r="R19" s="141"/>
      <c r="S19" s="3"/>
      <c r="T19" s="3"/>
      <c r="U19" s="3"/>
      <c r="V19" s="3"/>
      <c r="W19" s="3"/>
      <c r="X19" s="3"/>
      <c r="Y19" s="3"/>
    </row>
    <row r="20" ht="18" customHeight="1" spans="1:25" x14ac:dyDescent="0.25">
      <c r="A20" s="240"/>
      <c r="B20" s="240"/>
      <c r="C20" s="139"/>
      <c r="D20" s="216"/>
      <c r="E20" s="146"/>
      <c r="F20" s="139"/>
      <c r="G20" s="216"/>
      <c r="H20" s="216"/>
      <c r="I20" s="146"/>
      <c r="J20" s="240"/>
      <c r="K20" s="240"/>
      <c r="L20" s="141" t="s">
        <v>80</v>
      </c>
      <c r="M20" s="141"/>
      <c r="N20" s="141"/>
      <c r="O20" s="141"/>
      <c r="P20" s="141"/>
      <c r="Q20" s="141"/>
      <c r="R20" s="141"/>
      <c r="S20" s="3"/>
      <c r="T20" s="3"/>
      <c r="U20" s="3"/>
      <c r="V20" s="3"/>
      <c r="W20" s="3"/>
      <c r="X20" s="3"/>
      <c r="Y20" s="3"/>
    </row>
    <row r="21" ht="18" customHeight="1" spans="1:25" x14ac:dyDescent="0.25">
      <c r="A21" s="240"/>
      <c r="B21" s="240"/>
      <c r="C21" s="139"/>
      <c r="D21" s="216"/>
      <c r="E21" s="146"/>
      <c r="F21" s="139"/>
      <c r="G21" s="216"/>
      <c r="H21" s="216"/>
      <c r="I21" s="146"/>
      <c r="J21" s="240"/>
      <c r="K21" s="240"/>
      <c r="L21" s="141"/>
      <c r="M21" s="141"/>
      <c r="N21" s="141"/>
      <c r="O21" s="141"/>
      <c r="P21" s="141"/>
      <c r="Q21" s="141"/>
      <c r="R21" s="141"/>
      <c r="S21" s="3"/>
      <c r="T21" s="3"/>
      <c r="U21" s="3"/>
      <c r="V21" s="3"/>
      <c r="W21" s="3"/>
      <c r="X21" s="3"/>
      <c r="Y21" s="3"/>
    </row>
    <row r="22" ht="18" customHeight="1" spans="1:25" x14ac:dyDescent="0.25">
      <c r="A22" s="240"/>
      <c r="B22" s="240"/>
      <c r="C22" s="139"/>
      <c r="D22" s="216"/>
      <c r="E22" s="146"/>
      <c r="F22" s="139"/>
      <c r="G22" s="216"/>
      <c r="H22" s="216"/>
      <c r="I22" s="146"/>
      <c r="J22" s="240"/>
      <c r="K22" s="240"/>
      <c r="L22" s="141"/>
      <c r="M22" s="141"/>
      <c r="N22" s="141"/>
      <c r="O22" s="141"/>
      <c r="P22" s="141"/>
      <c r="Q22" s="141"/>
      <c r="R22" s="141"/>
      <c r="S22" s="3"/>
      <c r="T22" s="3"/>
      <c r="U22" s="3"/>
      <c r="V22" s="3"/>
      <c r="W22" s="3"/>
      <c r="X22" s="3"/>
      <c r="Y22" s="3"/>
    </row>
    <row r="23" ht="18" customHeight="1" spans="1:25" x14ac:dyDescent="0.25">
      <c r="A23" s="240"/>
      <c r="B23" s="240"/>
      <c r="C23" s="139"/>
      <c r="D23" s="216"/>
      <c r="E23" s="146"/>
      <c r="F23" s="139"/>
      <c r="G23" s="216"/>
      <c r="H23" s="216"/>
      <c r="I23" s="146"/>
      <c r="J23" s="240"/>
      <c r="K23" s="240"/>
      <c r="L23" s="141"/>
      <c r="M23" s="141"/>
      <c r="N23" s="141"/>
      <c r="O23" s="141"/>
      <c r="P23" s="141"/>
      <c r="Q23" s="141"/>
      <c r="R23" s="141"/>
      <c r="S23" s="3"/>
      <c r="T23" s="3"/>
      <c r="U23" s="3"/>
      <c r="V23" s="3"/>
      <c r="W23" s="3"/>
      <c r="X23" s="3"/>
      <c r="Y23" s="3"/>
    </row>
    <row r="24" ht="18" customHeight="1" spans="1:25" x14ac:dyDescent="0.25">
      <c r="A24" s="240"/>
      <c r="B24" s="240"/>
      <c r="C24" s="139"/>
      <c r="D24" s="216"/>
      <c r="E24" s="146"/>
      <c r="F24" s="139"/>
      <c r="G24" s="216"/>
      <c r="H24" s="216"/>
      <c r="I24" s="146"/>
      <c r="J24" s="240"/>
      <c r="K24" s="240"/>
      <c r="L24" s="141"/>
      <c r="M24" s="141"/>
      <c r="N24" s="141"/>
      <c r="O24" s="141"/>
      <c r="P24" s="141"/>
      <c r="Q24" s="141"/>
      <c r="R24" s="141"/>
      <c r="S24" s="3"/>
      <c r="T24" s="3"/>
      <c r="U24" s="3"/>
      <c r="V24" s="3"/>
      <c r="W24" s="3"/>
      <c r="X24" s="3"/>
      <c r="Y24" s="3"/>
    </row>
    <row r="25" ht="18" customHeight="1" spans="1:25" x14ac:dyDescent="0.25">
      <c r="A25" s="240"/>
      <c r="B25" s="240"/>
      <c r="C25" s="139"/>
      <c r="D25" s="216"/>
      <c r="E25" s="146"/>
      <c r="F25" s="139"/>
      <c r="G25" s="216"/>
      <c r="H25" s="216"/>
      <c r="I25" s="146"/>
      <c r="J25" s="240"/>
      <c r="K25" s="240"/>
      <c r="L25" s="141"/>
      <c r="M25" s="141"/>
      <c r="N25" s="141"/>
      <c r="O25" s="141"/>
      <c r="P25" s="141"/>
      <c r="Q25" s="141"/>
      <c r="R25" s="141"/>
      <c r="S25" s="3"/>
      <c r="T25" s="3"/>
      <c r="U25" s="3"/>
      <c r="V25" s="3"/>
      <c r="W25" s="3"/>
      <c r="X25" s="3"/>
      <c r="Y25" s="3"/>
    </row>
    <row r="26" ht="18" customHeight="1" spans="1:25" x14ac:dyDescent="0.25">
      <c r="A26" s="240"/>
      <c r="B26" s="240"/>
      <c r="C26" s="139"/>
      <c r="D26" s="216"/>
      <c r="E26" s="146"/>
      <c r="F26" s="139"/>
      <c r="G26" s="216"/>
      <c r="H26" s="216"/>
      <c r="I26" s="146"/>
      <c r="J26" s="240"/>
      <c r="K26" s="240"/>
      <c r="L26" s="141"/>
      <c r="M26" s="141"/>
      <c r="N26" s="141"/>
      <c r="O26" s="141"/>
      <c r="P26" s="141"/>
      <c r="Q26" s="141"/>
      <c r="R26" s="141"/>
      <c r="S26" s="3"/>
      <c r="T26" s="3"/>
      <c r="U26" s="3"/>
      <c r="V26" s="3"/>
      <c r="W26" s="3"/>
      <c r="X26" s="3"/>
      <c r="Y26" s="3"/>
    </row>
    <row r="27" ht="18" customHeight="1" spans="1:25" x14ac:dyDescent="0.25">
      <c r="A27" s="240"/>
      <c r="B27" s="240"/>
      <c r="C27" s="139"/>
      <c r="D27" s="216"/>
      <c r="E27" s="146"/>
      <c r="F27" s="139"/>
      <c r="G27" s="216"/>
      <c r="H27" s="216"/>
      <c r="I27" s="146"/>
      <c r="J27" s="240"/>
      <c r="K27" s="240"/>
      <c r="L27" s="141"/>
      <c r="M27" s="141"/>
      <c r="N27" s="141"/>
      <c r="O27" s="141"/>
      <c r="P27" s="141"/>
      <c r="Q27" s="141"/>
      <c r="R27" s="141"/>
      <c r="S27" s="3"/>
      <c r="T27" s="3"/>
      <c r="U27" s="3"/>
      <c r="V27" s="3"/>
      <c r="W27" s="3"/>
      <c r="X27" s="3"/>
      <c r="Y27" s="3"/>
    </row>
    <row r="28" spans="1:2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" customHeight="1" spans="1:25" x14ac:dyDescent="0.25">
      <c r="A31" s="170"/>
      <c r="B31" s="170"/>
      <c r="C31" s="170"/>
      <c r="D31" s="170"/>
      <c r="E31" s="3"/>
      <c r="F31" s="3"/>
      <c r="G31" s="3"/>
      <c r="H31" s="3"/>
      <c r="I31" s="170"/>
      <c r="J31" s="170"/>
      <c r="K31" s="170"/>
      <c r="L31" s="3"/>
      <c r="M31" s="3"/>
      <c r="N31" s="3"/>
      <c r="O31" s="170"/>
      <c r="P31" s="170"/>
      <c r="Q31" s="170"/>
      <c r="R31" s="170"/>
      <c r="S31" s="3"/>
      <c r="T31" s="3"/>
      <c r="U31" s="3"/>
      <c r="V31" s="3"/>
      <c r="W31" s="3"/>
      <c r="X31" s="3"/>
      <c r="Y31" s="3"/>
    </row>
    <row r="32" spans="1:25" x14ac:dyDescent="0.25">
      <c r="A32" s="171" t="s">
        <v>23</v>
      </c>
      <c r="B32" s="171"/>
      <c r="C32" s="171"/>
      <c r="D32" s="171"/>
      <c r="E32" s="3"/>
      <c r="F32" s="3"/>
      <c r="G32" s="3"/>
      <c r="H32" s="3"/>
      <c r="I32" s="171" t="s">
        <v>59</v>
      </c>
      <c r="J32" s="171"/>
      <c r="K32" s="171"/>
      <c r="L32" s="3"/>
      <c r="M32" s="3"/>
      <c r="N32" s="3"/>
      <c r="O32" s="171" t="s">
        <v>24</v>
      </c>
      <c r="P32" s="171"/>
      <c r="Q32" s="171"/>
      <c r="R32" s="171"/>
      <c r="S32" s="3"/>
      <c r="T32" s="3"/>
      <c r="U32" s="3"/>
      <c r="V32" s="3"/>
      <c r="W32" s="3"/>
      <c r="X32" s="3"/>
      <c r="Y32" s="3"/>
    </row>
    <row r="33" spans="1:2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</sheetData>
  <mergeCells count="67">
    <mergeCell ref="A1:R1"/>
    <mergeCell ref="A2:R2"/>
    <mergeCell ref="A4:R4"/>
    <mergeCell ref="H6:I6"/>
    <mergeCell ref="J6:K6"/>
    <mergeCell ref="P6:R6"/>
    <mergeCell ref="B8:E8"/>
    <mergeCell ref="H8:I8"/>
    <mergeCell ref="J8:K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A32:D32"/>
    <mergeCell ref="I32:K32"/>
    <mergeCell ref="O32:R32"/>
  </mergeCells>
  <printOptions horizontalCentered="1" verticalCentered="1"/>
  <pageMargins left="0.3937007874015748" right="0.35433070866141736" top="0.3937007874015748" bottom="0.35433070866141736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indexed="60"/>
    <pageSetUpPr fitToPage="1"/>
  </sheetPr>
  <dimension ref="A1:Y37"/>
  <sheetViews>
    <sheetView workbookViewId="0" zoomScale="90" zoomScaleNormal="90">
      <selection activeCell="A4" sqref="A4"/>
    </sheetView>
  </sheetViews>
  <sheetFormatPr defaultRowHeight="19.2" outlineLevelRow="0" outlineLevelCol="0" x14ac:dyDescent="0" customHeight="1"/>
  <cols>
    <col min="1" max="1" width="7.5" style="3" customWidth="1"/>
    <col min="2" max="2" width="9.5" style="3" customWidth="1"/>
    <col min="3" max="5" width="5.59765625" style="3" customWidth="1"/>
    <col min="6" max="9" width="6" style="3" customWidth="1"/>
    <col min="10" max="10" width="9" style="3" customWidth="1"/>
    <col min="11" max="18" width="7.59765625" style="3" customWidth="1"/>
    <col min="19" max="19" width="6.69921875" style="3" hidden="1" customWidth="1"/>
    <col min="20" max="256" width="9" style="3" customWidth="1"/>
    <col min="257" max="257" width="7.5" style="3" customWidth="1"/>
    <col min="258" max="258" width="9.5" style="3" customWidth="1"/>
    <col min="259" max="261" width="5.59765625" style="3" customWidth="1"/>
    <col min="262" max="265" width="6" style="3" customWidth="1"/>
    <col min="266" max="266" width="9" style="3" customWidth="1"/>
    <col min="267" max="267" width="7.59765625" style="3" customWidth="1"/>
    <col min="268" max="274" width="8" style="3" customWidth="1"/>
    <col min="275" max="275" width="9" style="3" hidden="1" customWidth="1"/>
    <col min="276" max="512" width="9" style="3" customWidth="1"/>
    <col min="513" max="513" width="7.5" style="3" customWidth="1"/>
    <col min="514" max="514" width="9.5" style="3" customWidth="1"/>
    <col min="515" max="517" width="5.59765625" style="3" customWidth="1"/>
    <col min="518" max="521" width="6" style="3" customWidth="1"/>
    <col min="522" max="522" width="9" style="3" customWidth="1"/>
    <col min="523" max="523" width="7.59765625" style="3" customWidth="1"/>
    <col min="524" max="530" width="8" style="3" customWidth="1"/>
    <col min="531" max="531" width="9" style="3" hidden="1" customWidth="1"/>
    <col min="532" max="768" width="9" style="3" customWidth="1"/>
    <col min="769" max="769" width="7.5" style="3" customWidth="1"/>
    <col min="770" max="770" width="9.5" style="3" customWidth="1"/>
    <col min="771" max="773" width="5.59765625" style="3" customWidth="1"/>
    <col min="774" max="777" width="6" style="3" customWidth="1"/>
    <col min="778" max="778" width="9" style="3" customWidth="1"/>
    <col min="779" max="779" width="7.59765625" style="3" customWidth="1"/>
    <col min="780" max="786" width="8" style="3" customWidth="1"/>
    <col min="787" max="787" width="9" style="3" hidden="1" customWidth="1"/>
    <col min="788" max="1024" width="9" style="3" customWidth="1"/>
    <col min="1025" max="1025" width="7.5" style="3" customWidth="1"/>
    <col min="1026" max="1026" width="9.5" style="3" customWidth="1"/>
    <col min="1027" max="1029" width="5.59765625" style="3" customWidth="1"/>
    <col min="1030" max="1033" width="6" style="3" customWidth="1"/>
    <col min="1034" max="1034" width="9" style="3" customWidth="1"/>
    <col min="1035" max="1035" width="7.59765625" style="3" customWidth="1"/>
    <col min="1036" max="1042" width="8" style="3" customWidth="1"/>
    <col min="1043" max="1043" width="9" style="3" hidden="1" customWidth="1"/>
    <col min="1044" max="1280" width="9" style="3" customWidth="1"/>
    <col min="1281" max="1281" width="7.5" style="3" customWidth="1"/>
    <col min="1282" max="1282" width="9.5" style="3" customWidth="1"/>
    <col min="1283" max="1285" width="5.59765625" style="3" customWidth="1"/>
    <col min="1286" max="1289" width="6" style="3" customWidth="1"/>
    <col min="1290" max="1290" width="9" style="3" customWidth="1"/>
    <col min="1291" max="1291" width="7.59765625" style="3" customWidth="1"/>
    <col min="1292" max="1298" width="8" style="3" customWidth="1"/>
    <col min="1299" max="1299" width="9" style="3" hidden="1" customWidth="1"/>
    <col min="1300" max="1536" width="9" style="3" customWidth="1"/>
    <col min="1537" max="1537" width="7.5" style="3" customWidth="1"/>
    <col min="1538" max="1538" width="9.5" style="3" customWidth="1"/>
    <col min="1539" max="1541" width="5.59765625" style="3" customWidth="1"/>
    <col min="1542" max="1545" width="6" style="3" customWidth="1"/>
    <col min="1546" max="1546" width="9" style="3" customWidth="1"/>
    <col min="1547" max="1547" width="7.59765625" style="3" customWidth="1"/>
    <col min="1548" max="1554" width="8" style="3" customWidth="1"/>
    <col min="1555" max="1555" width="9" style="3" hidden="1" customWidth="1"/>
    <col min="1556" max="1792" width="9" style="3" customWidth="1"/>
    <col min="1793" max="1793" width="7.5" style="3" customWidth="1"/>
    <col min="1794" max="1794" width="9.5" style="3" customWidth="1"/>
    <col min="1795" max="1797" width="5.59765625" style="3" customWidth="1"/>
    <col min="1798" max="1801" width="6" style="3" customWidth="1"/>
    <col min="1802" max="1802" width="9" style="3" customWidth="1"/>
    <col min="1803" max="1803" width="7.59765625" style="3" customWidth="1"/>
    <col min="1804" max="1810" width="8" style="3" customWidth="1"/>
    <col min="1811" max="1811" width="9" style="3" hidden="1" customWidth="1"/>
    <col min="1812" max="2048" width="9" style="3" customWidth="1"/>
    <col min="2049" max="2049" width="7.5" style="3" customWidth="1"/>
    <col min="2050" max="2050" width="9.5" style="3" customWidth="1"/>
    <col min="2051" max="2053" width="5.59765625" style="3" customWidth="1"/>
    <col min="2054" max="2057" width="6" style="3" customWidth="1"/>
    <col min="2058" max="2058" width="9" style="3" customWidth="1"/>
    <col min="2059" max="2059" width="7.59765625" style="3" customWidth="1"/>
    <col min="2060" max="2066" width="8" style="3" customWidth="1"/>
    <col min="2067" max="2067" width="9" style="3" hidden="1" customWidth="1"/>
    <col min="2068" max="2304" width="9" style="3" customWidth="1"/>
    <col min="2305" max="2305" width="7.5" style="3" customWidth="1"/>
    <col min="2306" max="2306" width="9.5" style="3" customWidth="1"/>
    <col min="2307" max="2309" width="5.59765625" style="3" customWidth="1"/>
    <col min="2310" max="2313" width="6" style="3" customWidth="1"/>
    <col min="2314" max="2314" width="9" style="3" customWidth="1"/>
    <col min="2315" max="2315" width="7.59765625" style="3" customWidth="1"/>
    <col min="2316" max="2322" width="8" style="3" customWidth="1"/>
    <col min="2323" max="2323" width="9" style="3" hidden="1" customWidth="1"/>
    <col min="2324" max="2560" width="9" style="3" customWidth="1"/>
    <col min="2561" max="2561" width="7.5" style="3" customWidth="1"/>
    <col min="2562" max="2562" width="9.5" style="3" customWidth="1"/>
    <col min="2563" max="2565" width="5.59765625" style="3" customWidth="1"/>
    <col min="2566" max="2569" width="6" style="3" customWidth="1"/>
    <col min="2570" max="2570" width="9" style="3" customWidth="1"/>
    <col min="2571" max="2571" width="7.59765625" style="3" customWidth="1"/>
    <col min="2572" max="2578" width="8" style="3" customWidth="1"/>
    <col min="2579" max="2579" width="9" style="3" hidden="1" customWidth="1"/>
    <col min="2580" max="2816" width="9" style="3" customWidth="1"/>
    <col min="2817" max="2817" width="7.5" style="3" customWidth="1"/>
    <col min="2818" max="2818" width="9.5" style="3" customWidth="1"/>
    <col min="2819" max="2821" width="5.59765625" style="3" customWidth="1"/>
    <col min="2822" max="2825" width="6" style="3" customWidth="1"/>
    <col min="2826" max="2826" width="9" style="3" customWidth="1"/>
    <col min="2827" max="2827" width="7.59765625" style="3" customWidth="1"/>
    <col min="2828" max="2834" width="8" style="3" customWidth="1"/>
    <col min="2835" max="2835" width="9" style="3" hidden="1" customWidth="1"/>
    <col min="2836" max="3072" width="9" style="3" customWidth="1"/>
    <col min="3073" max="3073" width="7.5" style="3" customWidth="1"/>
    <col min="3074" max="3074" width="9.5" style="3" customWidth="1"/>
    <col min="3075" max="3077" width="5.59765625" style="3" customWidth="1"/>
    <col min="3078" max="3081" width="6" style="3" customWidth="1"/>
    <col min="3082" max="3082" width="9" style="3" customWidth="1"/>
    <col min="3083" max="3083" width="7.59765625" style="3" customWidth="1"/>
    <col min="3084" max="3090" width="8" style="3" customWidth="1"/>
    <col min="3091" max="3091" width="9" style="3" hidden="1" customWidth="1"/>
    <col min="3092" max="3328" width="9" style="3" customWidth="1"/>
    <col min="3329" max="3329" width="7.5" style="3" customWidth="1"/>
    <col min="3330" max="3330" width="9.5" style="3" customWidth="1"/>
    <col min="3331" max="3333" width="5.59765625" style="3" customWidth="1"/>
    <col min="3334" max="3337" width="6" style="3" customWidth="1"/>
    <col min="3338" max="3338" width="9" style="3" customWidth="1"/>
    <col min="3339" max="3339" width="7.59765625" style="3" customWidth="1"/>
    <col min="3340" max="3346" width="8" style="3" customWidth="1"/>
    <col min="3347" max="3347" width="9" style="3" hidden="1" customWidth="1"/>
    <col min="3348" max="3584" width="9" style="3" customWidth="1"/>
    <col min="3585" max="3585" width="7.5" style="3" customWidth="1"/>
    <col min="3586" max="3586" width="9.5" style="3" customWidth="1"/>
    <col min="3587" max="3589" width="5.59765625" style="3" customWidth="1"/>
    <col min="3590" max="3593" width="6" style="3" customWidth="1"/>
    <col min="3594" max="3594" width="9" style="3" customWidth="1"/>
    <col min="3595" max="3595" width="7.59765625" style="3" customWidth="1"/>
    <col min="3596" max="3602" width="8" style="3" customWidth="1"/>
    <col min="3603" max="3603" width="9" style="3" hidden="1" customWidth="1"/>
    <col min="3604" max="3840" width="9" style="3" customWidth="1"/>
    <col min="3841" max="3841" width="7.5" style="3" customWidth="1"/>
    <col min="3842" max="3842" width="9.5" style="3" customWidth="1"/>
    <col min="3843" max="3845" width="5.59765625" style="3" customWidth="1"/>
    <col min="3846" max="3849" width="6" style="3" customWidth="1"/>
    <col min="3850" max="3850" width="9" style="3" customWidth="1"/>
    <col min="3851" max="3851" width="7.59765625" style="3" customWidth="1"/>
    <col min="3852" max="3858" width="8" style="3" customWidth="1"/>
    <col min="3859" max="3859" width="9" style="3" hidden="1" customWidth="1"/>
    <col min="3860" max="4096" width="9" style="3" customWidth="1"/>
    <col min="4097" max="4097" width="7.5" style="3" customWidth="1"/>
    <col min="4098" max="4098" width="9.5" style="3" customWidth="1"/>
    <col min="4099" max="4101" width="5.59765625" style="3" customWidth="1"/>
    <col min="4102" max="4105" width="6" style="3" customWidth="1"/>
    <col min="4106" max="4106" width="9" style="3" customWidth="1"/>
    <col min="4107" max="4107" width="7.59765625" style="3" customWidth="1"/>
    <col min="4108" max="4114" width="8" style="3" customWidth="1"/>
    <col min="4115" max="4115" width="9" style="3" hidden="1" customWidth="1"/>
    <col min="4116" max="4352" width="9" style="3" customWidth="1"/>
    <col min="4353" max="4353" width="7.5" style="3" customWidth="1"/>
    <col min="4354" max="4354" width="9.5" style="3" customWidth="1"/>
    <col min="4355" max="4357" width="5.59765625" style="3" customWidth="1"/>
    <col min="4358" max="4361" width="6" style="3" customWidth="1"/>
    <col min="4362" max="4362" width="9" style="3" customWidth="1"/>
    <col min="4363" max="4363" width="7.59765625" style="3" customWidth="1"/>
    <col min="4364" max="4370" width="8" style="3" customWidth="1"/>
    <col min="4371" max="4371" width="9" style="3" hidden="1" customWidth="1"/>
    <col min="4372" max="4608" width="9" style="3" customWidth="1"/>
    <col min="4609" max="4609" width="7.5" style="3" customWidth="1"/>
    <col min="4610" max="4610" width="9.5" style="3" customWidth="1"/>
    <col min="4611" max="4613" width="5.59765625" style="3" customWidth="1"/>
    <col min="4614" max="4617" width="6" style="3" customWidth="1"/>
    <col min="4618" max="4618" width="9" style="3" customWidth="1"/>
    <col min="4619" max="4619" width="7.59765625" style="3" customWidth="1"/>
    <col min="4620" max="4626" width="8" style="3" customWidth="1"/>
    <col min="4627" max="4627" width="9" style="3" hidden="1" customWidth="1"/>
    <col min="4628" max="4864" width="9" style="3" customWidth="1"/>
    <col min="4865" max="4865" width="7.5" style="3" customWidth="1"/>
    <col min="4866" max="4866" width="9.5" style="3" customWidth="1"/>
    <col min="4867" max="4869" width="5.59765625" style="3" customWidth="1"/>
    <col min="4870" max="4873" width="6" style="3" customWidth="1"/>
    <col min="4874" max="4874" width="9" style="3" customWidth="1"/>
    <col min="4875" max="4875" width="7.59765625" style="3" customWidth="1"/>
    <col min="4876" max="4882" width="8" style="3" customWidth="1"/>
    <col min="4883" max="4883" width="9" style="3" hidden="1" customWidth="1"/>
    <col min="4884" max="5120" width="9" style="3" customWidth="1"/>
    <col min="5121" max="5121" width="7.5" style="3" customWidth="1"/>
    <col min="5122" max="5122" width="9.5" style="3" customWidth="1"/>
    <col min="5123" max="5125" width="5.59765625" style="3" customWidth="1"/>
    <col min="5126" max="5129" width="6" style="3" customWidth="1"/>
    <col min="5130" max="5130" width="9" style="3" customWidth="1"/>
    <col min="5131" max="5131" width="7.59765625" style="3" customWidth="1"/>
    <col min="5132" max="5138" width="8" style="3" customWidth="1"/>
    <col min="5139" max="5139" width="9" style="3" hidden="1" customWidth="1"/>
    <col min="5140" max="5376" width="9" style="3" customWidth="1"/>
    <col min="5377" max="5377" width="7.5" style="3" customWidth="1"/>
    <col min="5378" max="5378" width="9.5" style="3" customWidth="1"/>
    <col min="5379" max="5381" width="5.59765625" style="3" customWidth="1"/>
    <col min="5382" max="5385" width="6" style="3" customWidth="1"/>
    <col min="5386" max="5386" width="9" style="3" customWidth="1"/>
    <col min="5387" max="5387" width="7.59765625" style="3" customWidth="1"/>
    <col min="5388" max="5394" width="8" style="3" customWidth="1"/>
    <col min="5395" max="5395" width="9" style="3" hidden="1" customWidth="1"/>
    <col min="5396" max="5632" width="9" style="3" customWidth="1"/>
    <col min="5633" max="5633" width="7.5" style="3" customWidth="1"/>
    <col min="5634" max="5634" width="9.5" style="3" customWidth="1"/>
    <col min="5635" max="5637" width="5.59765625" style="3" customWidth="1"/>
    <col min="5638" max="5641" width="6" style="3" customWidth="1"/>
    <col min="5642" max="5642" width="9" style="3" customWidth="1"/>
    <col min="5643" max="5643" width="7.59765625" style="3" customWidth="1"/>
    <col min="5644" max="5650" width="8" style="3" customWidth="1"/>
    <col min="5651" max="5651" width="9" style="3" hidden="1" customWidth="1"/>
    <col min="5652" max="5888" width="9" style="3" customWidth="1"/>
    <col min="5889" max="5889" width="7.5" style="3" customWidth="1"/>
    <col min="5890" max="5890" width="9.5" style="3" customWidth="1"/>
    <col min="5891" max="5893" width="5.59765625" style="3" customWidth="1"/>
    <col min="5894" max="5897" width="6" style="3" customWidth="1"/>
    <col min="5898" max="5898" width="9" style="3" customWidth="1"/>
    <col min="5899" max="5899" width="7.59765625" style="3" customWidth="1"/>
    <col min="5900" max="5906" width="8" style="3" customWidth="1"/>
    <col min="5907" max="5907" width="9" style="3" hidden="1" customWidth="1"/>
    <col min="5908" max="6144" width="9" style="3" customWidth="1"/>
    <col min="6145" max="6145" width="7.5" style="3" customWidth="1"/>
    <col min="6146" max="6146" width="9.5" style="3" customWidth="1"/>
    <col min="6147" max="6149" width="5.59765625" style="3" customWidth="1"/>
    <col min="6150" max="6153" width="6" style="3" customWidth="1"/>
    <col min="6154" max="6154" width="9" style="3" customWidth="1"/>
    <col min="6155" max="6155" width="7.59765625" style="3" customWidth="1"/>
    <col min="6156" max="6162" width="8" style="3" customWidth="1"/>
    <col min="6163" max="6163" width="9" style="3" hidden="1" customWidth="1"/>
    <col min="6164" max="6400" width="9" style="3" customWidth="1"/>
    <col min="6401" max="6401" width="7.5" style="3" customWidth="1"/>
    <col min="6402" max="6402" width="9.5" style="3" customWidth="1"/>
    <col min="6403" max="6405" width="5.59765625" style="3" customWidth="1"/>
    <col min="6406" max="6409" width="6" style="3" customWidth="1"/>
    <col min="6410" max="6410" width="9" style="3" customWidth="1"/>
    <col min="6411" max="6411" width="7.59765625" style="3" customWidth="1"/>
    <col min="6412" max="6418" width="8" style="3" customWidth="1"/>
    <col min="6419" max="6419" width="9" style="3" hidden="1" customWidth="1"/>
    <col min="6420" max="6656" width="9" style="3" customWidth="1"/>
    <col min="6657" max="6657" width="7.5" style="3" customWidth="1"/>
    <col min="6658" max="6658" width="9.5" style="3" customWidth="1"/>
    <col min="6659" max="6661" width="5.59765625" style="3" customWidth="1"/>
    <col min="6662" max="6665" width="6" style="3" customWidth="1"/>
    <col min="6666" max="6666" width="9" style="3" customWidth="1"/>
    <col min="6667" max="6667" width="7.59765625" style="3" customWidth="1"/>
    <col min="6668" max="6674" width="8" style="3" customWidth="1"/>
    <col min="6675" max="6675" width="9" style="3" hidden="1" customWidth="1"/>
    <col min="6676" max="6912" width="9" style="3" customWidth="1"/>
    <col min="6913" max="6913" width="7.5" style="3" customWidth="1"/>
    <col min="6914" max="6914" width="9.5" style="3" customWidth="1"/>
    <col min="6915" max="6917" width="5.59765625" style="3" customWidth="1"/>
    <col min="6918" max="6921" width="6" style="3" customWidth="1"/>
    <col min="6922" max="6922" width="9" style="3" customWidth="1"/>
    <col min="6923" max="6923" width="7.59765625" style="3" customWidth="1"/>
    <col min="6924" max="6930" width="8" style="3" customWidth="1"/>
    <col min="6931" max="6931" width="9" style="3" hidden="1" customWidth="1"/>
    <col min="6932" max="7168" width="9" style="3" customWidth="1"/>
    <col min="7169" max="7169" width="7.5" style="3" customWidth="1"/>
    <col min="7170" max="7170" width="9.5" style="3" customWidth="1"/>
    <col min="7171" max="7173" width="5.59765625" style="3" customWidth="1"/>
    <col min="7174" max="7177" width="6" style="3" customWidth="1"/>
    <col min="7178" max="7178" width="9" style="3" customWidth="1"/>
    <col min="7179" max="7179" width="7.59765625" style="3" customWidth="1"/>
    <col min="7180" max="7186" width="8" style="3" customWidth="1"/>
    <col min="7187" max="7187" width="9" style="3" hidden="1" customWidth="1"/>
    <col min="7188" max="7424" width="9" style="3" customWidth="1"/>
    <col min="7425" max="7425" width="7.5" style="3" customWidth="1"/>
    <col min="7426" max="7426" width="9.5" style="3" customWidth="1"/>
    <col min="7427" max="7429" width="5.59765625" style="3" customWidth="1"/>
    <col min="7430" max="7433" width="6" style="3" customWidth="1"/>
    <col min="7434" max="7434" width="9" style="3" customWidth="1"/>
    <col min="7435" max="7435" width="7.59765625" style="3" customWidth="1"/>
    <col min="7436" max="7442" width="8" style="3" customWidth="1"/>
    <col min="7443" max="7443" width="9" style="3" hidden="1" customWidth="1"/>
    <col min="7444" max="7680" width="9" style="3" customWidth="1"/>
    <col min="7681" max="7681" width="7.5" style="3" customWidth="1"/>
    <col min="7682" max="7682" width="9.5" style="3" customWidth="1"/>
    <col min="7683" max="7685" width="5.59765625" style="3" customWidth="1"/>
    <col min="7686" max="7689" width="6" style="3" customWidth="1"/>
    <col min="7690" max="7690" width="9" style="3" customWidth="1"/>
    <col min="7691" max="7691" width="7.59765625" style="3" customWidth="1"/>
    <col min="7692" max="7698" width="8" style="3" customWidth="1"/>
    <col min="7699" max="7699" width="9" style="3" hidden="1" customWidth="1"/>
    <col min="7700" max="7936" width="9" style="3" customWidth="1"/>
    <col min="7937" max="7937" width="7.5" style="3" customWidth="1"/>
    <col min="7938" max="7938" width="9.5" style="3" customWidth="1"/>
    <col min="7939" max="7941" width="5.59765625" style="3" customWidth="1"/>
    <col min="7942" max="7945" width="6" style="3" customWidth="1"/>
    <col min="7946" max="7946" width="9" style="3" customWidth="1"/>
    <col min="7947" max="7947" width="7.59765625" style="3" customWidth="1"/>
    <col min="7948" max="7954" width="8" style="3" customWidth="1"/>
    <col min="7955" max="7955" width="9" style="3" hidden="1" customWidth="1"/>
    <col min="7956" max="8192" width="9" style="3" customWidth="1"/>
    <col min="8193" max="8193" width="7.5" style="3" customWidth="1"/>
    <col min="8194" max="8194" width="9.5" style="3" customWidth="1"/>
    <col min="8195" max="8197" width="5.59765625" style="3" customWidth="1"/>
    <col min="8198" max="8201" width="6" style="3" customWidth="1"/>
    <col min="8202" max="8202" width="9" style="3" customWidth="1"/>
    <col min="8203" max="8203" width="7.59765625" style="3" customWidth="1"/>
    <col min="8204" max="8210" width="8" style="3" customWidth="1"/>
    <col min="8211" max="8211" width="9" style="3" hidden="1" customWidth="1"/>
    <col min="8212" max="8448" width="9" style="3" customWidth="1"/>
    <col min="8449" max="8449" width="7.5" style="3" customWidth="1"/>
    <col min="8450" max="8450" width="9.5" style="3" customWidth="1"/>
    <col min="8451" max="8453" width="5.59765625" style="3" customWidth="1"/>
    <col min="8454" max="8457" width="6" style="3" customWidth="1"/>
    <col min="8458" max="8458" width="9" style="3" customWidth="1"/>
    <col min="8459" max="8459" width="7.59765625" style="3" customWidth="1"/>
    <col min="8460" max="8466" width="8" style="3" customWidth="1"/>
    <col min="8467" max="8467" width="9" style="3" hidden="1" customWidth="1"/>
    <col min="8468" max="8704" width="9" style="3" customWidth="1"/>
    <col min="8705" max="8705" width="7.5" style="3" customWidth="1"/>
    <col min="8706" max="8706" width="9.5" style="3" customWidth="1"/>
    <col min="8707" max="8709" width="5.59765625" style="3" customWidth="1"/>
    <col min="8710" max="8713" width="6" style="3" customWidth="1"/>
    <col min="8714" max="8714" width="9" style="3" customWidth="1"/>
    <col min="8715" max="8715" width="7.59765625" style="3" customWidth="1"/>
    <col min="8716" max="8722" width="8" style="3" customWidth="1"/>
    <col min="8723" max="8723" width="9" style="3" hidden="1" customWidth="1"/>
    <col min="8724" max="8960" width="9" style="3" customWidth="1"/>
    <col min="8961" max="8961" width="7.5" style="3" customWidth="1"/>
    <col min="8962" max="8962" width="9.5" style="3" customWidth="1"/>
    <col min="8963" max="8965" width="5.59765625" style="3" customWidth="1"/>
    <col min="8966" max="8969" width="6" style="3" customWidth="1"/>
    <col min="8970" max="8970" width="9" style="3" customWidth="1"/>
    <col min="8971" max="8971" width="7.59765625" style="3" customWidth="1"/>
    <col min="8972" max="8978" width="8" style="3" customWidth="1"/>
    <col min="8979" max="8979" width="9" style="3" hidden="1" customWidth="1"/>
    <col min="8980" max="9216" width="9" style="3" customWidth="1"/>
    <col min="9217" max="9217" width="7.5" style="3" customWidth="1"/>
    <col min="9218" max="9218" width="9.5" style="3" customWidth="1"/>
    <col min="9219" max="9221" width="5.59765625" style="3" customWidth="1"/>
    <col min="9222" max="9225" width="6" style="3" customWidth="1"/>
    <col min="9226" max="9226" width="9" style="3" customWidth="1"/>
    <col min="9227" max="9227" width="7.59765625" style="3" customWidth="1"/>
    <col min="9228" max="9234" width="8" style="3" customWidth="1"/>
    <col min="9235" max="9235" width="9" style="3" hidden="1" customWidth="1"/>
    <col min="9236" max="9472" width="9" style="3" customWidth="1"/>
    <col min="9473" max="9473" width="7.5" style="3" customWidth="1"/>
    <col min="9474" max="9474" width="9.5" style="3" customWidth="1"/>
    <col min="9475" max="9477" width="5.59765625" style="3" customWidth="1"/>
    <col min="9478" max="9481" width="6" style="3" customWidth="1"/>
    <col min="9482" max="9482" width="9" style="3" customWidth="1"/>
    <col min="9483" max="9483" width="7.59765625" style="3" customWidth="1"/>
    <col min="9484" max="9490" width="8" style="3" customWidth="1"/>
    <col min="9491" max="9491" width="9" style="3" hidden="1" customWidth="1"/>
    <col min="9492" max="9728" width="9" style="3" customWidth="1"/>
    <col min="9729" max="9729" width="7.5" style="3" customWidth="1"/>
    <col min="9730" max="9730" width="9.5" style="3" customWidth="1"/>
    <col min="9731" max="9733" width="5.59765625" style="3" customWidth="1"/>
    <col min="9734" max="9737" width="6" style="3" customWidth="1"/>
    <col min="9738" max="9738" width="9" style="3" customWidth="1"/>
    <col min="9739" max="9739" width="7.59765625" style="3" customWidth="1"/>
    <col min="9740" max="9746" width="8" style="3" customWidth="1"/>
    <col min="9747" max="9747" width="9" style="3" hidden="1" customWidth="1"/>
    <col min="9748" max="9984" width="9" style="3" customWidth="1"/>
    <col min="9985" max="9985" width="7.5" style="3" customWidth="1"/>
    <col min="9986" max="9986" width="9.5" style="3" customWidth="1"/>
    <col min="9987" max="9989" width="5.59765625" style="3" customWidth="1"/>
    <col min="9990" max="9993" width="6" style="3" customWidth="1"/>
    <col min="9994" max="9994" width="9" style="3" customWidth="1"/>
    <col min="9995" max="9995" width="7.59765625" style="3" customWidth="1"/>
    <col min="9996" max="10002" width="8" style="3" customWidth="1"/>
    <col min="10003" max="10003" width="9" style="3" hidden="1" customWidth="1"/>
    <col min="10004" max="10240" width="9" style="3" customWidth="1"/>
    <col min="10241" max="10241" width="7.5" style="3" customWidth="1"/>
    <col min="10242" max="10242" width="9.5" style="3" customWidth="1"/>
    <col min="10243" max="10245" width="5.59765625" style="3" customWidth="1"/>
    <col min="10246" max="10249" width="6" style="3" customWidth="1"/>
    <col min="10250" max="10250" width="9" style="3" customWidth="1"/>
    <col min="10251" max="10251" width="7.59765625" style="3" customWidth="1"/>
    <col min="10252" max="10258" width="8" style="3" customWidth="1"/>
    <col min="10259" max="10259" width="9" style="3" hidden="1" customWidth="1"/>
    <col min="10260" max="10496" width="9" style="3" customWidth="1"/>
    <col min="10497" max="10497" width="7.5" style="3" customWidth="1"/>
    <col min="10498" max="10498" width="9.5" style="3" customWidth="1"/>
    <col min="10499" max="10501" width="5.59765625" style="3" customWidth="1"/>
    <col min="10502" max="10505" width="6" style="3" customWidth="1"/>
    <col min="10506" max="10506" width="9" style="3" customWidth="1"/>
    <col min="10507" max="10507" width="7.59765625" style="3" customWidth="1"/>
    <col min="10508" max="10514" width="8" style="3" customWidth="1"/>
    <col min="10515" max="10515" width="9" style="3" hidden="1" customWidth="1"/>
    <col min="10516" max="10752" width="9" style="3" customWidth="1"/>
    <col min="10753" max="10753" width="7.5" style="3" customWidth="1"/>
    <col min="10754" max="10754" width="9.5" style="3" customWidth="1"/>
    <col min="10755" max="10757" width="5.59765625" style="3" customWidth="1"/>
    <col min="10758" max="10761" width="6" style="3" customWidth="1"/>
    <col min="10762" max="10762" width="9" style="3" customWidth="1"/>
    <col min="10763" max="10763" width="7.59765625" style="3" customWidth="1"/>
    <col min="10764" max="10770" width="8" style="3" customWidth="1"/>
    <col min="10771" max="10771" width="9" style="3" hidden="1" customWidth="1"/>
    <col min="10772" max="11008" width="9" style="3" customWidth="1"/>
    <col min="11009" max="11009" width="7.5" style="3" customWidth="1"/>
    <col min="11010" max="11010" width="9.5" style="3" customWidth="1"/>
    <col min="11011" max="11013" width="5.59765625" style="3" customWidth="1"/>
    <col min="11014" max="11017" width="6" style="3" customWidth="1"/>
    <col min="11018" max="11018" width="9" style="3" customWidth="1"/>
    <col min="11019" max="11019" width="7.59765625" style="3" customWidth="1"/>
    <col min="11020" max="11026" width="8" style="3" customWidth="1"/>
    <col min="11027" max="11027" width="9" style="3" hidden="1" customWidth="1"/>
    <col min="11028" max="11264" width="9" style="3" customWidth="1"/>
    <col min="11265" max="11265" width="7.5" style="3" customWidth="1"/>
    <col min="11266" max="11266" width="9.5" style="3" customWidth="1"/>
    <col min="11267" max="11269" width="5.59765625" style="3" customWidth="1"/>
    <col min="11270" max="11273" width="6" style="3" customWidth="1"/>
    <col min="11274" max="11274" width="9" style="3" customWidth="1"/>
    <col min="11275" max="11275" width="7.59765625" style="3" customWidth="1"/>
    <col min="11276" max="11282" width="8" style="3" customWidth="1"/>
    <col min="11283" max="11283" width="9" style="3" hidden="1" customWidth="1"/>
    <col min="11284" max="11520" width="9" style="3" customWidth="1"/>
    <col min="11521" max="11521" width="7.5" style="3" customWidth="1"/>
    <col min="11522" max="11522" width="9.5" style="3" customWidth="1"/>
    <col min="11523" max="11525" width="5.59765625" style="3" customWidth="1"/>
    <col min="11526" max="11529" width="6" style="3" customWidth="1"/>
    <col min="11530" max="11530" width="9" style="3" customWidth="1"/>
    <col min="11531" max="11531" width="7.59765625" style="3" customWidth="1"/>
    <col min="11532" max="11538" width="8" style="3" customWidth="1"/>
    <col min="11539" max="11539" width="9" style="3" hidden="1" customWidth="1"/>
    <col min="11540" max="11776" width="9" style="3" customWidth="1"/>
    <col min="11777" max="11777" width="7.5" style="3" customWidth="1"/>
    <col min="11778" max="11778" width="9.5" style="3" customWidth="1"/>
    <col min="11779" max="11781" width="5.59765625" style="3" customWidth="1"/>
    <col min="11782" max="11785" width="6" style="3" customWidth="1"/>
    <col min="11786" max="11786" width="9" style="3" customWidth="1"/>
    <col min="11787" max="11787" width="7.59765625" style="3" customWidth="1"/>
    <col min="11788" max="11794" width="8" style="3" customWidth="1"/>
    <col min="11795" max="11795" width="9" style="3" hidden="1" customWidth="1"/>
    <col min="11796" max="12032" width="9" style="3" customWidth="1"/>
    <col min="12033" max="12033" width="7.5" style="3" customWidth="1"/>
    <col min="12034" max="12034" width="9.5" style="3" customWidth="1"/>
    <col min="12035" max="12037" width="5.59765625" style="3" customWidth="1"/>
    <col min="12038" max="12041" width="6" style="3" customWidth="1"/>
    <col min="12042" max="12042" width="9" style="3" customWidth="1"/>
    <col min="12043" max="12043" width="7.59765625" style="3" customWidth="1"/>
    <col min="12044" max="12050" width="8" style="3" customWidth="1"/>
    <col min="12051" max="12051" width="9" style="3" hidden="1" customWidth="1"/>
    <col min="12052" max="12288" width="9" style="3" customWidth="1"/>
    <col min="12289" max="12289" width="7.5" style="3" customWidth="1"/>
    <col min="12290" max="12290" width="9.5" style="3" customWidth="1"/>
    <col min="12291" max="12293" width="5.59765625" style="3" customWidth="1"/>
    <col min="12294" max="12297" width="6" style="3" customWidth="1"/>
    <col min="12298" max="12298" width="9" style="3" customWidth="1"/>
    <col min="12299" max="12299" width="7.59765625" style="3" customWidth="1"/>
    <col min="12300" max="12306" width="8" style="3" customWidth="1"/>
    <col min="12307" max="12307" width="9" style="3" hidden="1" customWidth="1"/>
    <col min="12308" max="12544" width="9" style="3" customWidth="1"/>
    <col min="12545" max="12545" width="7.5" style="3" customWidth="1"/>
    <col min="12546" max="12546" width="9.5" style="3" customWidth="1"/>
    <col min="12547" max="12549" width="5.59765625" style="3" customWidth="1"/>
    <col min="12550" max="12553" width="6" style="3" customWidth="1"/>
    <col min="12554" max="12554" width="9" style="3" customWidth="1"/>
    <col min="12555" max="12555" width="7.59765625" style="3" customWidth="1"/>
    <col min="12556" max="12562" width="8" style="3" customWidth="1"/>
    <col min="12563" max="12563" width="9" style="3" hidden="1" customWidth="1"/>
    <col min="12564" max="12800" width="9" style="3" customWidth="1"/>
    <col min="12801" max="12801" width="7.5" style="3" customWidth="1"/>
    <col min="12802" max="12802" width="9.5" style="3" customWidth="1"/>
    <col min="12803" max="12805" width="5.59765625" style="3" customWidth="1"/>
    <col min="12806" max="12809" width="6" style="3" customWidth="1"/>
    <col min="12810" max="12810" width="9" style="3" customWidth="1"/>
    <col min="12811" max="12811" width="7.59765625" style="3" customWidth="1"/>
    <col min="12812" max="12818" width="8" style="3" customWidth="1"/>
    <col min="12819" max="12819" width="9" style="3" hidden="1" customWidth="1"/>
    <col min="12820" max="13056" width="9" style="3" customWidth="1"/>
    <col min="13057" max="13057" width="7.5" style="3" customWidth="1"/>
    <col min="13058" max="13058" width="9.5" style="3" customWidth="1"/>
    <col min="13059" max="13061" width="5.59765625" style="3" customWidth="1"/>
    <col min="13062" max="13065" width="6" style="3" customWidth="1"/>
    <col min="13066" max="13066" width="9" style="3" customWidth="1"/>
    <col min="13067" max="13067" width="7.59765625" style="3" customWidth="1"/>
    <col min="13068" max="13074" width="8" style="3" customWidth="1"/>
    <col min="13075" max="13075" width="9" style="3" hidden="1" customWidth="1"/>
    <col min="13076" max="13312" width="9" style="3" customWidth="1"/>
    <col min="13313" max="13313" width="7.5" style="3" customWidth="1"/>
    <col min="13314" max="13314" width="9.5" style="3" customWidth="1"/>
    <col min="13315" max="13317" width="5.59765625" style="3" customWidth="1"/>
    <col min="13318" max="13321" width="6" style="3" customWidth="1"/>
    <col min="13322" max="13322" width="9" style="3" customWidth="1"/>
    <col min="13323" max="13323" width="7.59765625" style="3" customWidth="1"/>
    <col min="13324" max="13330" width="8" style="3" customWidth="1"/>
    <col min="13331" max="13331" width="9" style="3" hidden="1" customWidth="1"/>
    <col min="13332" max="13568" width="9" style="3" customWidth="1"/>
    <col min="13569" max="13569" width="7.5" style="3" customWidth="1"/>
    <col min="13570" max="13570" width="9.5" style="3" customWidth="1"/>
    <col min="13571" max="13573" width="5.59765625" style="3" customWidth="1"/>
    <col min="13574" max="13577" width="6" style="3" customWidth="1"/>
    <col min="13578" max="13578" width="9" style="3" customWidth="1"/>
    <col min="13579" max="13579" width="7.59765625" style="3" customWidth="1"/>
    <col min="13580" max="13586" width="8" style="3" customWidth="1"/>
    <col min="13587" max="13587" width="9" style="3" hidden="1" customWidth="1"/>
    <col min="13588" max="13824" width="9" style="3" customWidth="1"/>
    <col min="13825" max="13825" width="7.5" style="3" customWidth="1"/>
    <col min="13826" max="13826" width="9.5" style="3" customWidth="1"/>
    <col min="13827" max="13829" width="5.59765625" style="3" customWidth="1"/>
    <col min="13830" max="13833" width="6" style="3" customWidth="1"/>
    <col min="13834" max="13834" width="9" style="3" customWidth="1"/>
    <col min="13835" max="13835" width="7.59765625" style="3" customWidth="1"/>
    <col min="13836" max="13842" width="8" style="3" customWidth="1"/>
    <col min="13843" max="13843" width="9" style="3" hidden="1" customWidth="1"/>
    <col min="13844" max="14080" width="9" style="3" customWidth="1"/>
    <col min="14081" max="14081" width="7.5" style="3" customWidth="1"/>
    <col min="14082" max="14082" width="9.5" style="3" customWidth="1"/>
    <col min="14083" max="14085" width="5.59765625" style="3" customWidth="1"/>
    <col min="14086" max="14089" width="6" style="3" customWidth="1"/>
    <col min="14090" max="14090" width="9" style="3" customWidth="1"/>
    <col min="14091" max="14091" width="7.59765625" style="3" customWidth="1"/>
    <col min="14092" max="14098" width="8" style="3" customWidth="1"/>
    <col min="14099" max="14099" width="9" style="3" hidden="1" customWidth="1"/>
    <col min="14100" max="14336" width="9" style="3" customWidth="1"/>
    <col min="14337" max="14337" width="7.5" style="3" customWidth="1"/>
    <col min="14338" max="14338" width="9.5" style="3" customWidth="1"/>
    <col min="14339" max="14341" width="5.59765625" style="3" customWidth="1"/>
    <col min="14342" max="14345" width="6" style="3" customWidth="1"/>
    <col min="14346" max="14346" width="9" style="3" customWidth="1"/>
    <col min="14347" max="14347" width="7.59765625" style="3" customWidth="1"/>
    <col min="14348" max="14354" width="8" style="3" customWidth="1"/>
    <col min="14355" max="14355" width="9" style="3" hidden="1" customWidth="1"/>
    <col min="14356" max="14592" width="9" style="3" customWidth="1"/>
    <col min="14593" max="14593" width="7.5" style="3" customWidth="1"/>
    <col min="14594" max="14594" width="9.5" style="3" customWidth="1"/>
    <col min="14595" max="14597" width="5.59765625" style="3" customWidth="1"/>
    <col min="14598" max="14601" width="6" style="3" customWidth="1"/>
    <col min="14602" max="14602" width="9" style="3" customWidth="1"/>
    <col min="14603" max="14603" width="7.59765625" style="3" customWidth="1"/>
    <col min="14604" max="14610" width="8" style="3" customWidth="1"/>
    <col min="14611" max="14611" width="9" style="3" hidden="1" customWidth="1"/>
    <col min="14612" max="14848" width="9" style="3" customWidth="1"/>
    <col min="14849" max="14849" width="7.5" style="3" customWidth="1"/>
    <col min="14850" max="14850" width="9.5" style="3" customWidth="1"/>
    <col min="14851" max="14853" width="5.59765625" style="3" customWidth="1"/>
    <col min="14854" max="14857" width="6" style="3" customWidth="1"/>
    <col min="14858" max="14858" width="9" style="3" customWidth="1"/>
    <col min="14859" max="14859" width="7.59765625" style="3" customWidth="1"/>
    <col min="14860" max="14866" width="8" style="3" customWidth="1"/>
    <col min="14867" max="14867" width="9" style="3" hidden="1" customWidth="1"/>
    <col min="14868" max="15104" width="9" style="3" customWidth="1"/>
    <col min="15105" max="15105" width="7.5" style="3" customWidth="1"/>
    <col min="15106" max="15106" width="9.5" style="3" customWidth="1"/>
    <col min="15107" max="15109" width="5.59765625" style="3" customWidth="1"/>
    <col min="15110" max="15113" width="6" style="3" customWidth="1"/>
    <col min="15114" max="15114" width="9" style="3" customWidth="1"/>
    <col min="15115" max="15115" width="7.59765625" style="3" customWidth="1"/>
    <col min="15116" max="15122" width="8" style="3" customWidth="1"/>
    <col min="15123" max="15123" width="9" style="3" hidden="1" customWidth="1"/>
    <col min="15124" max="15360" width="9" style="3" customWidth="1"/>
    <col min="15361" max="15361" width="7.5" style="3" customWidth="1"/>
    <col min="15362" max="15362" width="9.5" style="3" customWidth="1"/>
    <col min="15363" max="15365" width="5.59765625" style="3" customWidth="1"/>
    <col min="15366" max="15369" width="6" style="3" customWidth="1"/>
    <col min="15370" max="15370" width="9" style="3" customWidth="1"/>
    <col min="15371" max="15371" width="7.59765625" style="3" customWidth="1"/>
    <col min="15372" max="15378" width="8" style="3" customWidth="1"/>
    <col min="15379" max="15379" width="9" style="3" hidden="1" customWidth="1"/>
    <col min="15380" max="15616" width="9" style="3" customWidth="1"/>
    <col min="15617" max="15617" width="7.5" style="3" customWidth="1"/>
    <col min="15618" max="15618" width="9.5" style="3" customWidth="1"/>
    <col min="15619" max="15621" width="5.59765625" style="3" customWidth="1"/>
    <col min="15622" max="15625" width="6" style="3" customWidth="1"/>
    <col min="15626" max="15626" width="9" style="3" customWidth="1"/>
    <col min="15627" max="15627" width="7.59765625" style="3" customWidth="1"/>
    <col min="15628" max="15634" width="8" style="3" customWidth="1"/>
    <col min="15635" max="15635" width="9" style="3" hidden="1" customWidth="1"/>
    <col min="15636" max="15872" width="9" style="3" customWidth="1"/>
    <col min="15873" max="15873" width="7.5" style="3" customWidth="1"/>
    <col min="15874" max="15874" width="9.5" style="3" customWidth="1"/>
    <col min="15875" max="15877" width="5.59765625" style="3" customWidth="1"/>
    <col min="15878" max="15881" width="6" style="3" customWidth="1"/>
    <col min="15882" max="15882" width="9" style="3" customWidth="1"/>
    <col min="15883" max="15883" width="7.59765625" style="3" customWidth="1"/>
    <col min="15884" max="15890" width="8" style="3" customWidth="1"/>
    <col min="15891" max="15891" width="9" style="3" hidden="1" customWidth="1"/>
    <col min="15892" max="16128" width="9" style="3" customWidth="1"/>
    <col min="16129" max="16129" width="7.5" style="3" customWidth="1"/>
    <col min="16130" max="16130" width="9.5" style="3" customWidth="1"/>
    <col min="16131" max="16133" width="5.59765625" style="3" customWidth="1"/>
    <col min="16134" max="16137" width="6" style="3" customWidth="1"/>
    <col min="16138" max="16138" width="9" style="3" customWidth="1"/>
    <col min="16139" max="16139" width="7.59765625" style="3" customWidth="1"/>
    <col min="16140" max="16146" width="8" style="3" customWidth="1"/>
    <col min="16147" max="16147" width="9" style="3" hidden="1" customWidth="1"/>
    <col min="16148" max="16384" width="9" style="3" customWidth="1"/>
  </cols>
  <sheetData>
    <row r="1" ht="27" customHeight="1" spans="1:25" x14ac:dyDescent="0.25">
      <c r="A1" s="173" t="s">
        <v>25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3"/>
      <c r="T1" s="3"/>
      <c r="U1" s="3"/>
      <c r="V1" s="3"/>
      <c r="W1" s="3"/>
      <c r="X1" s="3"/>
      <c r="Y1" s="3"/>
    </row>
    <row r="2" ht="12" customHeight="1" spans="1:25" x14ac:dyDescent="0.25">
      <c r="A2" s="158" t="s">
        <v>26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3"/>
      <c r="T2" s="3"/>
      <c r="U2" s="3"/>
      <c r="V2" s="3"/>
      <c r="W2" s="3"/>
      <c r="X2" s="3"/>
      <c r="Y2" s="3"/>
    </row>
    <row r="3" ht="5.2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s="3" customFormat="1" x14ac:dyDescent="0.25">
      <c r="A4" s="174" t="s">
        <v>60</v>
      </c>
      <c r="B4" s="174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3"/>
      <c r="T4" s="3"/>
      <c r="U4" s="3"/>
      <c r="V4" s="3"/>
      <c r="W4" s="3"/>
      <c r="X4" s="3"/>
      <c r="Y4" s="3"/>
    </row>
    <row r="5" ht="4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7.4" customHeight="1" spans="1:25" x14ac:dyDescent="0.25">
      <c r="A6" s="175" t="s">
        <v>61</v>
      </c>
      <c r="B6" s="138" t="s">
        <v>3</v>
      </c>
      <c r="C6" s="3"/>
      <c r="D6" s="3"/>
      <c r="E6" s="3"/>
      <c r="F6" s="3"/>
      <c r="G6" s="3"/>
      <c r="H6" s="158" t="s">
        <v>62</v>
      </c>
      <c r="I6" s="158"/>
      <c r="J6" s="138" t="s">
        <v>63</v>
      </c>
      <c r="K6" s="158"/>
      <c r="L6" s="3"/>
      <c r="M6" s="3"/>
      <c r="N6" s="3"/>
      <c r="O6" s="175" t="s">
        <v>64</v>
      </c>
      <c r="P6" s="572">
        <v>46227</v>
      </c>
      <c r="Q6" s="158"/>
      <c r="R6" s="158"/>
      <c r="S6" s="3"/>
      <c r="T6" s="3"/>
      <c r="U6" s="3"/>
      <c r="V6" s="3"/>
      <c r="W6" s="3"/>
      <c r="X6" s="3"/>
      <c r="Y6" s="3"/>
    </row>
    <row r="7" ht="11.25" customHeight="1" spans="1:2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7.4" customHeight="1" spans="1:25" x14ac:dyDescent="0.25">
      <c r="A8" s="175" t="s">
        <v>65</v>
      </c>
      <c r="B8" s="138" t="s">
        <v>26</v>
      </c>
      <c r="C8" s="175"/>
      <c r="D8" s="175"/>
      <c r="E8" s="175"/>
      <c r="F8" s="3"/>
      <c r="G8" s="3"/>
      <c r="H8" s="158" t="s">
        <v>66</v>
      </c>
      <c r="I8" s="158"/>
      <c r="J8" s="138" t="s">
        <v>67</v>
      </c>
      <c r="K8" s="158"/>
      <c r="L8" s="3"/>
      <c r="M8" s="3"/>
      <c r="N8" s="3"/>
      <c r="O8" s="175" t="s">
        <v>68</v>
      </c>
      <c r="P8" s="138">
        <v>8</v>
      </c>
      <c r="Q8" s="158"/>
      <c r="R8" s="158"/>
      <c r="S8" s="3"/>
      <c r="T8" s="3"/>
      <c r="U8" s="3"/>
      <c r="V8" s="3"/>
      <c r="W8" s="3"/>
      <c r="X8" s="3"/>
      <c r="Y8" s="3"/>
    </row>
    <row r="9" ht="6.7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6.2" customHeight="1" spans="1:25" x14ac:dyDescent="0.25">
      <c r="A10" s="177" t="s">
        <v>11</v>
      </c>
      <c r="B10" s="177" t="s">
        <v>45</v>
      </c>
      <c r="C10" s="233" t="s">
        <v>69</v>
      </c>
      <c r="D10" s="171"/>
      <c r="E10" s="234"/>
      <c r="F10" s="177" t="s">
        <v>70</v>
      </c>
      <c r="G10" s="177"/>
      <c r="H10" s="177"/>
      <c r="I10" s="177"/>
      <c r="J10" s="179" t="s">
        <v>71</v>
      </c>
      <c r="K10" s="177" t="s">
        <v>72</v>
      </c>
      <c r="L10" s="177" t="s">
        <v>73</v>
      </c>
      <c r="M10" s="177"/>
      <c r="N10" s="177"/>
      <c r="O10" s="177"/>
      <c r="P10" s="177"/>
      <c r="Q10" s="177"/>
      <c r="R10" s="177"/>
      <c r="S10" s="3"/>
      <c r="T10" s="3"/>
      <c r="U10" s="3"/>
      <c r="V10" s="3"/>
      <c r="W10" s="3"/>
      <c r="X10" s="3"/>
      <c r="Y10" s="3"/>
    </row>
    <row r="11" ht="16.2" customHeight="1" spans="1:25" x14ac:dyDescent="0.25">
      <c r="A11" s="180"/>
      <c r="B11" s="180"/>
      <c r="C11" s="235"/>
      <c r="D11" s="236"/>
      <c r="E11" s="237"/>
      <c r="F11" s="180"/>
      <c r="G11" s="180"/>
      <c r="H11" s="180"/>
      <c r="I11" s="180"/>
      <c r="J11" s="182" t="s">
        <v>54</v>
      </c>
      <c r="K11" s="180"/>
      <c r="L11" s="180"/>
      <c r="M11" s="180"/>
      <c r="N11" s="180"/>
      <c r="O11" s="180"/>
      <c r="P11" s="180"/>
      <c r="Q11" s="180"/>
      <c r="R11" s="180"/>
      <c r="S11" s="3"/>
      <c r="T11" s="3"/>
      <c r="U11" s="3"/>
      <c r="V11" s="3"/>
      <c r="W11" s="3"/>
      <c r="X11" s="3"/>
      <c r="Y11" s="3"/>
    </row>
    <row r="12" ht="18" customHeight="1" spans="1:25" s="3" customFormat="1" x14ac:dyDescent="0.25">
      <c r="A12" s="189"/>
      <c r="B12" s="189"/>
      <c r="C12" s="184"/>
      <c r="D12" s="238"/>
      <c r="E12" s="185"/>
      <c r="F12" s="184"/>
      <c r="G12" s="238"/>
      <c r="H12" s="238"/>
      <c r="I12" s="185"/>
      <c r="J12" s="189"/>
      <c r="K12" s="189"/>
      <c r="L12" s="186"/>
      <c r="M12" s="187"/>
      <c r="N12" s="187"/>
      <c r="O12" s="187"/>
      <c r="P12" s="187"/>
      <c r="Q12" s="187"/>
      <c r="R12" s="188"/>
      <c r="S12" s="3"/>
      <c r="T12" s="3"/>
      <c r="U12" s="3"/>
      <c r="V12" s="3"/>
      <c r="W12" s="3"/>
      <c r="X12" s="3"/>
      <c r="Y12" s="3"/>
    </row>
    <row r="13" ht="18" customHeight="1" spans="1:25" s="3" customFormat="1" x14ac:dyDescent="0.25">
      <c r="A13" s="221"/>
      <c r="B13" s="221"/>
      <c r="C13" s="157"/>
      <c r="D13" s="239"/>
      <c r="E13" s="152"/>
      <c r="F13" s="157"/>
      <c r="G13" s="239"/>
      <c r="H13" s="239"/>
      <c r="I13" s="152"/>
      <c r="J13" s="221"/>
      <c r="K13" s="221"/>
      <c r="L13" s="203"/>
      <c r="M13" s="203"/>
      <c r="N13" s="203"/>
      <c r="O13" s="203"/>
      <c r="P13" s="203"/>
      <c r="Q13" s="203"/>
      <c r="R13" s="203"/>
      <c r="S13" s="3"/>
      <c r="T13" s="3"/>
      <c r="U13" s="3"/>
      <c r="V13" s="3"/>
      <c r="W13" s="3"/>
      <c r="X13" s="3"/>
      <c r="Y13" s="3"/>
    </row>
    <row r="14" ht="18" customHeight="1" spans="1:25" s="3" customFormat="1" x14ac:dyDescent="0.25">
      <c r="A14" s="240"/>
      <c r="B14" s="240"/>
      <c r="C14" s="139"/>
      <c r="D14" s="216"/>
      <c r="E14" s="146"/>
      <c r="F14" s="139"/>
      <c r="G14" s="216"/>
      <c r="H14" s="216"/>
      <c r="I14" s="146"/>
      <c r="J14" s="240"/>
      <c r="K14" s="240"/>
      <c r="L14" s="241"/>
      <c r="M14" s="241"/>
      <c r="N14" s="241"/>
      <c r="O14" s="241"/>
      <c r="P14" s="241"/>
      <c r="Q14" s="241"/>
      <c r="R14" s="241"/>
      <c r="S14" s="3"/>
      <c r="T14" s="3"/>
      <c r="U14" s="3"/>
      <c r="V14" s="3"/>
      <c r="W14" s="3"/>
      <c r="X14" s="3"/>
      <c r="Y14" s="3"/>
    </row>
    <row r="15" ht="18" customHeight="1" spans="1:25" s="3" customFormat="1" x14ac:dyDescent="0.25">
      <c r="A15" s="240"/>
      <c r="B15" s="240"/>
      <c r="C15" s="139"/>
      <c r="D15" s="216"/>
      <c r="E15" s="146"/>
      <c r="F15" s="139"/>
      <c r="G15" s="216"/>
      <c r="H15" s="216"/>
      <c r="I15" s="146"/>
      <c r="J15" s="240"/>
      <c r="K15" s="240"/>
      <c r="L15" s="241"/>
      <c r="M15" s="241"/>
      <c r="N15" s="241"/>
      <c r="O15" s="241"/>
      <c r="P15" s="241"/>
      <c r="Q15" s="241"/>
      <c r="R15" s="241"/>
      <c r="S15" s="3"/>
      <c r="T15" s="3"/>
      <c r="U15" s="3"/>
      <c r="V15" s="3"/>
      <c r="W15" s="3"/>
      <c r="X15" s="3"/>
      <c r="Y15" s="3"/>
    </row>
    <row r="16" ht="18" customHeight="1" spans="1:25" s="3" customFormat="1" x14ac:dyDescent="0.25">
      <c r="A16" s="240"/>
      <c r="B16" s="240"/>
      <c r="C16" s="139"/>
      <c r="D16" s="216"/>
      <c r="E16" s="146"/>
      <c r="F16" s="139"/>
      <c r="G16" s="216"/>
      <c r="H16" s="216"/>
      <c r="I16" s="146"/>
      <c r="J16" s="240"/>
      <c r="K16" s="240"/>
      <c r="L16" s="241"/>
      <c r="M16" s="241"/>
      <c r="N16" s="241"/>
      <c r="O16" s="241"/>
      <c r="P16" s="241"/>
      <c r="Q16" s="241"/>
      <c r="R16" s="241"/>
      <c r="S16" s="3"/>
      <c r="T16" s="3"/>
      <c r="U16" s="3"/>
      <c r="V16" s="3"/>
      <c r="W16" s="3"/>
      <c r="X16" s="3"/>
      <c r="Y16" s="3"/>
    </row>
    <row r="17" ht="18" customHeight="1" spans="1:25" s="3" customFormat="1" x14ac:dyDescent="0.25">
      <c r="A17" s="240"/>
      <c r="B17" s="240"/>
      <c r="C17" s="139"/>
      <c r="D17" s="216"/>
      <c r="E17" s="146"/>
      <c r="F17" s="139"/>
      <c r="G17" s="216"/>
      <c r="H17" s="216"/>
      <c r="I17" s="146"/>
      <c r="J17" s="240"/>
      <c r="K17" s="240"/>
      <c r="L17" s="241"/>
      <c r="M17" s="241"/>
      <c r="N17" s="241"/>
      <c r="O17" s="241"/>
      <c r="P17" s="241"/>
      <c r="Q17" s="241"/>
      <c r="R17" s="241"/>
      <c r="S17" s="3"/>
      <c r="T17" s="3"/>
      <c r="U17" s="3"/>
      <c r="V17" s="3"/>
      <c r="W17" s="3"/>
      <c r="X17" s="3"/>
      <c r="Y17" s="3"/>
    </row>
    <row r="18" ht="18" customHeight="1" spans="1:25" s="3" customFormat="1" x14ac:dyDescent="0.25">
      <c r="A18" s="240"/>
      <c r="B18" s="240"/>
      <c r="C18" s="139"/>
      <c r="D18" s="216"/>
      <c r="E18" s="146"/>
      <c r="F18" s="139"/>
      <c r="G18" s="216"/>
      <c r="H18" s="216"/>
      <c r="I18" s="146"/>
      <c r="J18" s="240"/>
      <c r="K18" s="240"/>
      <c r="L18" s="241"/>
      <c r="M18" s="241"/>
      <c r="N18" s="241"/>
      <c r="O18" s="241"/>
      <c r="P18" s="241"/>
      <c r="Q18" s="241"/>
      <c r="R18" s="241"/>
      <c r="S18" s="3"/>
      <c r="T18" s="3"/>
      <c r="U18" s="3"/>
      <c r="V18" s="3"/>
      <c r="W18" s="3"/>
      <c r="X18" s="3"/>
      <c r="Y18" s="3"/>
    </row>
    <row r="19" ht="18" customHeight="1" spans="1:25" s="3" customFormat="1" x14ac:dyDescent="0.25">
      <c r="A19" s="240"/>
      <c r="B19" s="240"/>
      <c r="C19" s="139"/>
      <c r="D19" s="216"/>
      <c r="E19" s="146"/>
      <c r="F19" s="139"/>
      <c r="G19" s="216"/>
      <c r="H19" s="216"/>
      <c r="I19" s="146"/>
      <c r="J19" s="240"/>
      <c r="K19" s="240"/>
      <c r="L19" s="241"/>
      <c r="M19" s="241"/>
      <c r="N19" s="241"/>
      <c r="O19" s="241"/>
      <c r="P19" s="241"/>
      <c r="Q19" s="241"/>
      <c r="R19" s="241"/>
      <c r="S19" s="3"/>
      <c r="T19" s="3"/>
      <c r="U19" s="3"/>
      <c r="V19" s="3"/>
      <c r="W19" s="3"/>
      <c r="X19" s="3"/>
      <c r="Y19" s="3"/>
    </row>
    <row r="20" ht="18" customHeight="1" spans="1:25" s="3" customFormat="1" x14ac:dyDescent="0.25">
      <c r="A20" s="240"/>
      <c r="B20" s="240"/>
      <c r="C20" s="139"/>
      <c r="D20" s="216"/>
      <c r="E20" s="146"/>
      <c r="F20" s="139"/>
      <c r="G20" s="216"/>
      <c r="H20" s="216"/>
      <c r="I20" s="146"/>
      <c r="J20" s="240"/>
      <c r="K20" s="240"/>
      <c r="L20" s="241"/>
      <c r="M20" s="241"/>
      <c r="N20" s="241"/>
      <c r="O20" s="241"/>
      <c r="P20" s="241"/>
      <c r="Q20" s="241"/>
      <c r="R20" s="241"/>
      <c r="S20" s="3"/>
      <c r="T20" s="3"/>
      <c r="U20" s="3"/>
      <c r="V20" s="3"/>
      <c r="W20" s="3"/>
      <c r="X20" s="3"/>
      <c r="Y20" s="3"/>
    </row>
    <row r="21" ht="18" customHeight="1" spans="1:25" s="3" customFormat="1" x14ac:dyDescent="0.25">
      <c r="A21" s="240"/>
      <c r="B21" s="240"/>
      <c r="C21" s="139"/>
      <c r="D21" s="216"/>
      <c r="E21" s="146"/>
      <c r="F21" s="139"/>
      <c r="G21" s="216"/>
      <c r="H21" s="216"/>
      <c r="I21" s="146"/>
      <c r="J21" s="240"/>
      <c r="K21" s="240"/>
      <c r="L21" s="241"/>
      <c r="M21" s="241"/>
      <c r="N21" s="241"/>
      <c r="O21" s="241"/>
      <c r="P21" s="241"/>
      <c r="Q21" s="241"/>
      <c r="R21" s="241"/>
      <c r="S21" s="3"/>
      <c r="T21" s="3"/>
      <c r="U21" s="3"/>
      <c r="V21" s="3"/>
      <c r="W21" s="3"/>
      <c r="X21" s="3"/>
      <c r="Y21" s="3"/>
    </row>
    <row r="22" ht="18" customHeight="1" spans="1:25" s="3" customFormat="1" x14ac:dyDescent="0.25">
      <c r="A22" s="240"/>
      <c r="B22" s="240"/>
      <c r="C22" s="139"/>
      <c r="D22" s="216"/>
      <c r="E22" s="146"/>
      <c r="F22" s="139"/>
      <c r="G22" s="216"/>
      <c r="H22" s="216"/>
      <c r="I22" s="146"/>
      <c r="J22" s="240"/>
      <c r="K22" s="240"/>
      <c r="L22" s="241"/>
      <c r="M22" s="241"/>
      <c r="N22" s="241"/>
      <c r="O22" s="241"/>
      <c r="P22" s="241"/>
      <c r="Q22" s="241"/>
      <c r="R22" s="241"/>
      <c r="S22" s="3"/>
      <c r="T22" s="3"/>
      <c r="U22" s="3"/>
      <c r="V22" s="3"/>
      <c r="W22" s="3"/>
      <c r="X22" s="3"/>
      <c r="Y22" s="3"/>
    </row>
    <row r="23" ht="18" customHeight="1" spans="1:25" s="3" customFormat="1" x14ac:dyDescent="0.25">
      <c r="A23" s="240"/>
      <c r="B23" s="240"/>
      <c r="C23" s="139"/>
      <c r="D23" s="216"/>
      <c r="E23" s="146"/>
      <c r="F23" s="139"/>
      <c r="G23" s="216"/>
      <c r="H23" s="216"/>
      <c r="I23" s="146"/>
      <c r="J23" s="240"/>
      <c r="K23" s="240"/>
      <c r="L23" s="141"/>
      <c r="M23" s="141"/>
      <c r="N23" s="141"/>
      <c r="O23" s="141"/>
      <c r="P23" s="141"/>
      <c r="Q23" s="141"/>
      <c r="R23" s="141"/>
      <c r="S23" s="3"/>
      <c r="T23" s="3"/>
      <c r="U23" s="3"/>
      <c r="V23" s="3"/>
      <c r="W23" s="3"/>
      <c r="X23" s="3"/>
      <c r="Y23" s="3"/>
    </row>
    <row r="24" ht="18" customHeight="1" spans="1:25" s="3" customFormat="1" x14ac:dyDescent="0.25">
      <c r="A24" s="240"/>
      <c r="B24" s="240"/>
      <c r="C24" s="139"/>
      <c r="D24" s="216"/>
      <c r="E24" s="146"/>
      <c r="F24" s="139"/>
      <c r="G24" s="216"/>
      <c r="H24" s="216"/>
      <c r="I24" s="146"/>
      <c r="J24" s="240"/>
      <c r="K24" s="240"/>
      <c r="L24" s="141"/>
      <c r="M24" s="141"/>
      <c r="N24" s="141"/>
      <c r="O24" s="141"/>
      <c r="P24" s="141"/>
      <c r="Q24" s="141"/>
      <c r="R24" s="141"/>
      <c r="S24" s="3"/>
      <c r="T24" s="3"/>
      <c r="U24" s="3"/>
      <c r="V24" s="3"/>
      <c r="W24" s="3"/>
      <c r="X24" s="3"/>
      <c r="Y24" s="3"/>
    </row>
    <row r="25" ht="18" customHeight="1" spans="1:25" s="3" customFormat="1" x14ac:dyDescent="0.25">
      <c r="A25" s="240"/>
      <c r="B25" s="240"/>
      <c r="C25" s="139"/>
      <c r="D25" s="216"/>
      <c r="E25" s="146"/>
      <c r="F25" s="139"/>
      <c r="G25" s="216"/>
      <c r="H25" s="216"/>
      <c r="I25" s="146"/>
      <c r="J25" s="240"/>
      <c r="K25" s="240"/>
      <c r="L25" s="141"/>
      <c r="M25" s="141"/>
      <c r="N25" s="141"/>
      <c r="O25" s="141"/>
      <c r="P25" s="141"/>
      <c r="Q25" s="141"/>
      <c r="R25" s="141"/>
      <c r="S25" s="3"/>
      <c r="T25" s="3"/>
      <c r="U25" s="3"/>
      <c r="V25" s="3"/>
      <c r="W25" s="3"/>
      <c r="X25" s="3"/>
      <c r="Y25" s="3"/>
    </row>
    <row r="26" ht="18" customHeight="1" spans="1:25" s="3" customFormat="1" x14ac:dyDescent="0.25">
      <c r="A26" s="240"/>
      <c r="B26" s="240"/>
      <c r="C26" s="139"/>
      <c r="D26" s="216"/>
      <c r="E26" s="146"/>
      <c r="F26" s="139"/>
      <c r="G26" s="216"/>
      <c r="H26" s="216"/>
      <c r="I26" s="146"/>
      <c r="J26" s="240"/>
      <c r="K26" s="240"/>
      <c r="L26" s="141"/>
      <c r="M26" s="141"/>
      <c r="N26" s="141"/>
      <c r="O26" s="141"/>
      <c r="P26" s="141"/>
      <c r="Q26" s="141"/>
      <c r="R26" s="141"/>
      <c r="S26" s="3"/>
      <c r="T26" s="3"/>
      <c r="U26" s="3"/>
      <c r="V26" s="3"/>
      <c r="W26" s="3"/>
      <c r="X26" s="3"/>
      <c r="Y26" s="3"/>
    </row>
    <row r="27" ht="18" customHeight="1" spans="1:25" s="3" customFormat="1" x14ac:dyDescent="0.25">
      <c r="A27" s="240"/>
      <c r="B27" s="240"/>
      <c r="C27" s="139"/>
      <c r="D27" s="216"/>
      <c r="E27" s="146"/>
      <c r="F27" s="139"/>
      <c r="G27" s="216"/>
      <c r="H27" s="216"/>
      <c r="I27" s="146"/>
      <c r="J27" s="240"/>
      <c r="K27" s="240"/>
      <c r="L27" s="141"/>
      <c r="M27" s="141"/>
      <c r="N27" s="141"/>
      <c r="O27" s="141"/>
      <c r="P27" s="141"/>
      <c r="Q27" s="141"/>
      <c r="R27" s="141"/>
      <c r="S27" s="3"/>
      <c r="T27" s="3"/>
      <c r="U27" s="3"/>
      <c r="V27" s="3"/>
      <c r="W27" s="3"/>
      <c r="X27" s="3"/>
      <c r="Y27" s="3"/>
    </row>
    <row r="28" spans="1:2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" customHeight="1" spans="1:25" s="3" customFormat="1" x14ac:dyDescent="0.25">
      <c r="A31" s="170"/>
      <c r="B31" s="170"/>
      <c r="C31" s="170"/>
      <c r="D31" s="170"/>
      <c r="E31" s="3"/>
      <c r="F31" s="3"/>
      <c r="G31" s="3"/>
      <c r="H31" s="3"/>
      <c r="I31" s="170"/>
      <c r="J31" s="170"/>
      <c r="K31" s="170"/>
      <c r="L31" s="3"/>
      <c r="M31" s="3"/>
      <c r="N31" s="3"/>
      <c r="O31" s="170"/>
      <c r="P31" s="170"/>
      <c r="Q31" s="170"/>
      <c r="R31" s="170"/>
      <c r="S31" s="3"/>
      <c r="T31" s="3"/>
      <c r="U31" s="3"/>
      <c r="V31" s="3"/>
      <c r="W31" s="3"/>
      <c r="X31" s="3"/>
      <c r="Y31" s="3"/>
    </row>
    <row r="32" spans="1:25" s="3" customFormat="1" x14ac:dyDescent="0.25">
      <c r="A32" s="171" t="s">
        <v>23</v>
      </c>
      <c r="B32" s="171"/>
      <c r="C32" s="171"/>
      <c r="D32" s="171"/>
      <c r="E32" s="3"/>
      <c r="F32" s="3"/>
      <c r="G32" s="3"/>
      <c r="H32" s="3"/>
      <c r="I32" s="171" t="s">
        <v>59</v>
      </c>
      <c r="J32" s="171"/>
      <c r="K32" s="171"/>
      <c r="L32" s="3"/>
      <c r="M32" s="3"/>
      <c r="N32" s="3"/>
      <c r="O32" s="171" t="s">
        <v>24</v>
      </c>
      <c r="P32" s="171"/>
      <c r="Q32" s="171"/>
      <c r="R32" s="171"/>
      <c r="S32" s="3"/>
      <c r="T32" s="3"/>
      <c r="U32" s="3"/>
      <c r="V32" s="3"/>
      <c r="W32" s="3"/>
      <c r="X32" s="3"/>
      <c r="Y32" s="3"/>
    </row>
    <row r="33" spans="1:2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</sheetData>
  <mergeCells count="67">
    <mergeCell ref="A1:R1"/>
    <mergeCell ref="A2:R2"/>
    <mergeCell ref="A4:R4"/>
    <mergeCell ref="H6:I6"/>
    <mergeCell ref="J6:K6"/>
    <mergeCell ref="P6:R6"/>
    <mergeCell ref="B8:E8"/>
    <mergeCell ref="H8:I8"/>
    <mergeCell ref="J8:K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A32:D32"/>
    <mergeCell ref="I32:K32"/>
    <mergeCell ref="O32:R32"/>
  </mergeCells>
  <printOptions horizontalCentered="1" verticalCentered="1"/>
  <pageMargins left="0.4330708661417323" right="0.35433070866141736" top="0.4330708661417323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rgb="FF333300"/>
  </sheetPr>
  <dimension ref="A1:Y98"/>
  <sheetViews>
    <sheetView workbookViewId="0" zoomScale="90" zoomScaleNormal="90">
      <selection activeCell="B2" sqref="B2"/>
    </sheetView>
  </sheetViews>
  <sheetFormatPr defaultRowHeight="19.2" outlineLevelRow="0" outlineLevelCol="0" x14ac:dyDescent="0" customHeight="1"/>
  <cols>
    <col min="1" max="2" width="7" style="1" customWidth="1"/>
    <col min="3" max="3" width="7.59765625" style="1" customWidth="1"/>
    <col min="4" max="4" width="5.59765625" style="2" customWidth="1"/>
    <col min="5" max="15" width="5.59765625" style="1" customWidth="1"/>
    <col min="16" max="228" width="9" style="1" customWidth="1"/>
    <col min="229" max="230" width="7" style="1" customWidth="1"/>
    <col min="231" max="231" width="9.09765625" style="1" customWidth="1"/>
    <col min="232" max="240" width="7.09765625" style="1" customWidth="1"/>
    <col min="241" max="484" width="9" style="1" customWidth="1"/>
    <col min="485" max="486" width="7" style="1" customWidth="1"/>
    <col min="487" max="487" width="9.09765625" style="1" customWidth="1"/>
    <col min="488" max="496" width="7.09765625" style="1" customWidth="1"/>
    <col min="497" max="740" width="9" style="1" customWidth="1"/>
    <col min="741" max="742" width="7" style="1" customWidth="1"/>
    <col min="743" max="743" width="9.09765625" style="1" customWidth="1"/>
    <col min="744" max="752" width="7.09765625" style="1" customWidth="1"/>
    <col min="753" max="996" width="9" style="1" customWidth="1"/>
    <col min="997" max="998" width="7" style="1" customWidth="1"/>
    <col min="999" max="999" width="9.09765625" style="1" customWidth="1"/>
    <col min="1000" max="1008" width="7.09765625" style="1" customWidth="1"/>
    <col min="1009" max="1252" width="9" style="1" customWidth="1"/>
    <col min="1253" max="1254" width="7" style="1" customWidth="1"/>
    <col min="1255" max="1255" width="9.09765625" style="1" customWidth="1"/>
    <col min="1256" max="1264" width="7.09765625" style="1" customWidth="1"/>
    <col min="1265" max="1508" width="9" style="1" customWidth="1"/>
    <col min="1509" max="1510" width="7" style="1" customWidth="1"/>
    <col min="1511" max="1511" width="9.09765625" style="1" customWidth="1"/>
    <col min="1512" max="1520" width="7.09765625" style="1" customWidth="1"/>
    <col min="1521" max="1764" width="9" style="1" customWidth="1"/>
    <col min="1765" max="1766" width="7" style="1" customWidth="1"/>
    <col min="1767" max="1767" width="9.09765625" style="1" customWidth="1"/>
    <col min="1768" max="1776" width="7.09765625" style="1" customWidth="1"/>
    <col min="1777" max="2020" width="9" style="1" customWidth="1"/>
    <col min="2021" max="2022" width="7" style="1" customWidth="1"/>
    <col min="2023" max="2023" width="9.09765625" style="1" customWidth="1"/>
    <col min="2024" max="2032" width="7.09765625" style="1" customWidth="1"/>
    <col min="2033" max="2276" width="9" style="1" customWidth="1"/>
    <col min="2277" max="2278" width="7" style="1" customWidth="1"/>
    <col min="2279" max="2279" width="9.09765625" style="1" customWidth="1"/>
    <col min="2280" max="2288" width="7.09765625" style="1" customWidth="1"/>
    <col min="2289" max="2532" width="9" style="1" customWidth="1"/>
    <col min="2533" max="2534" width="7" style="1" customWidth="1"/>
    <col min="2535" max="2535" width="9.09765625" style="1" customWidth="1"/>
    <col min="2536" max="2544" width="7.09765625" style="1" customWidth="1"/>
    <col min="2545" max="2788" width="9" style="1" customWidth="1"/>
    <col min="2789" max="2790" width="7" style="1" customWidth="1"/>
    <col min="2791" max="2791" width="9.09765625" style="1" customWidth="1"/>
    <col min="2792" max="2800" width="7.09765625" style="1" customWidth="1"/>
    <col min="2801" max="3044" width="9" style="1" customWidth="1"/>
    <col min="3045" max="3046" width="7" style="1" customWidth="1"/>
    <col min="3047" max="3047" width="9.09765625" style="1" customWidth="1"/>
    <col min="3048" max="3056" width="7.09765625" style="1" customWidth="1"/>
    <col min="3057" max="3300" width="9" style="1" customWidth="1"/>
    <col min="3301" max="3302" width="7" style="1" customWidth="1"/>
    <col min="3303" max="3303" width="9.09765625" style="1" customWidth="1"/>
    <col min="3304" max="3312" width="7.09765625" style="1" customWidth="1"/>
    <col min="3313" max="3556" width="9" style="1" customWidth="1"/>
    <col min="3557" max="3558" width="7" style="1" customWidth="1"/>
    <col min="3559" max="3559" width="9.09765625" style="1" customWidth="1"/>
    <col min="3560" max="3568" width="7.09765625" style="1" customWidth="1"/>
    <col min="3569" max="3812" width="9" style="1" customWidth="1"/>
    <col min="3813" max="3814" width="7" style="1" customWidth="1"/>
    <col min="3815" max="3815" width="9.09765625" style="1" customWidth="1"/>
    <col min="3816" max="3824" width="7.09765625" style="1" customWidth="1"/>
    <col min="3825" max="4068" width="9" style="1" customWidth="1"/>
    <col min="4069" max="4070" width="7" style="1" customWidth="1"/>
    <col min="4071" max="4071" width="9.09765625" style="1" customWidth="1"/>
    <col min="4072" max="4080" width="7.09765625" style="1" customWidth="1"/>
    <col min="4081" max="4324" width="9" style="1" customWidth="1"/>
    <col min="4325" max="4326" width="7" style="1" customWidth="1"/>
    <col min="4327" max="4327" width="9.09765625" style="1" customWidth="1"/>
    <col min="4328" max="4336" width="7.09765625" style="1" customWidth="1"/>
    <col min="4337" max="4580" width="9" style="1" customWidth="1"/>
    <col min="4581" max="4582" width="7" style="1" customWidth="1"/>
    <col min="4583" max="4583" width="9.09765625" style="1" customWidth="1"/>
    <col min="4584" max="4592" width="7.09765625" style="1" customWidth="1"/>
    <col min="4593" max="4836" width="9" style="1" customWidth="1"/>
    <col min="4837" max="4838" width="7" style="1" customWidth="1"/>
    <col min="4839" max="4839" width="9.09765625" style="1" customWidth="1"/>
    <col min="4840" max="4848" width="7.09765625" style="1" customWidth="1"/>
    <col min="4849" max="5092" width="9" style="1" customWidth="1"/>
    <col min="5093" max="5094" width="7" style="1" customWidth="1"/>
    <col min="5095" max="5095" width="9.09765625" style="1" customWidth="1"/>
    <col min="5096" max="5104" width="7.09765625" style="1" customWidth="1"/>
    <col min="5105" max="5348" width="9" style="1" customWidth="1"/>
    <col min="5349" max="5350" width="7" style="1" customWidth="1"/>
    <col min="5351" max="5351" width="9.09765625" style="1" customWidth="1"/>
    <col min="5352" max="5360" width="7.09765625" style="1" customWidth="1"/>
    <col min="5361" max="5604" width="9" style="1" customWidth="1"/>
    <col min="5605" max="5606" width="7" style="1" customWidth="1"/>
    <col min="5607" max="5607" width="9.09765625" style="1" customWidth="1"/>
    <col min="5608" max="5616" width="7.09765625" style="1" customWidth="1"/>
    <col min="5617" max="5860" width="9" style="1" customWidth="1"/>
    <col min="5861" max="5862" width="7" style="1" customWidth="1"/>
    <col min="5863" max="5863" width="9.09765625" style="1" customWidth="1"/>
    <col min="5864" max="5872" width="7.09765625" style="1" customWidth="1"/>
    <col min="5873" max="6116" width="9" style="1" customWidth="1"/>
    <col min="6117" max="6118" width="7" style="1" customWidth="1"/>
    <col min="6119" max="6119" width="9.09765625" style="1" customWidth="1"/>
    <col min="6120" max="6128" width="7.09765625" style="1" customWidth="1"/>
    <col min="6129" max="6372" width="9" style="1" customWidth="1"/>
    <col min="6373" max="6374" width="7" style="1" customWidth="1"/>
    <col min="6375" max="6375" width="9.09765625" style="1" customWidth="1"/>
    <col min="6376" max="6384" width="7.09765625" style="1" customWidth="1"/>
    <col min="6385" max="6628" width="9" style="1" customWidth="1"/>
    <col min="6629" max="6630" width="7" style="1" customWidth="1"/>
    <col min="6631" max="6631" width="9.09765625" style="1" customWidth="1"/>
    <col min="6632" max="6640" width="7.09765625" style="1" customWidth="1"/>
    <col min="6641" max="6884" width="9" style="1" customWidth="1"/>
    <col min="6885" max="6886" width="7" style="1" customWidth="1"/>
    <col min="6887" max="6887" width="9.09765625" style="1" customWidth="1"/>
    <col min="6888" max="6896" width="7.09765625" style="1" customWidth="1"/>
    <col min="6897" max="7140" width="9" style="1" customWidth="1"/>
    <col min="7141" max="7142" width="7" style="1" customWidth="1"/>
    <col min="7143" max="7143" width="9.09765625" style="1" customWidth="1"/>
    <col min="7144" max="7152" width="7.09765625" style="1" customWidth="1"/>
    <col min="7153" max="7396" width="9" style="1" customWidth="1"/>
    <col min="7397" max="7398" width="7" style="1" customWidth="1"/>
    <col min="7399" max="7399" width="9.09765625" style="1" customWidth="1"/>
    <col min="7400" max="7408" width="7.09765625" style="1" customWidth="1"/>
    <col min="7409" max="7652" width="9" style="1" customWidth="1"/>
    <col min="7653" max="7654" width="7" style="1" customWidth="1"/>
    <col min="7655" max="7655" width="9.09765625" style="1" customWidth="1"/>
    <col min="7656" max="7664" width="7.09765625" style="1" customWidth="1"/>
    <col min="7665" max="7908" width="9" style="1" customWidth="1"/>
    <col min="7909" max="7910" width="7" style="1" customWidth="1"/>
    <col min="7911" max="7911" width="9.09765625" style="1" customWidth="1"/>
    <col min="7912" max="7920" width="7.09765625" style="1" customWidth="1"/>
    <col min="7921" max="8164" width="9" style="1" customWidth="1"/>
    <col min="8165" max="8166" width="7" style="1" customWidth="1"/>
    <col min="8167" max="8167" width="9.09765625" style="1" customWidth="1"/>
    <col min="8168" max="8176" width="7.09765625" style="1" customWidth="1"/>
    <col min="8177" max="8420" width="9" style="1" customWidth="1"/>
    <col min="8421" max="8422" width="7" style="1" customWidth="1"/>
    <col min="8423" max="8423" width="9.09765625" style="1" customWidth="1"/>
    <col min="8424" max="8432" width="7.09765625" style="1" customWidth="1"/>
    <col min="8433" max="8676" width="9" style="1" customWidth="1"/>
    <col min="8677" max="8678" width="7" style="1" customWidth="1"/>
    <col min="8679" max="8679" width="9.09765625" style="1" customWidth="1"/>
    <col min="8680" max="8688" width="7.09765625" style="1" customWidth="1"/>
    <col min="8689" max="8932" width="9" style="1" customWidth="1"/>
    <col min="8933" max="8934" width="7" style="1" customWidth="1"/>
    <col min="8935" max="8935" width="9.09765625" style="1" customWidth="1"/>
    <col min="8936" max="8944" width="7.09765625" style="1" customWidth="1"/>
    <col min="8945" max="9188" width="9" style="1" customWidth="1"/>
    <col min="9189" max="9190" width="7" style="1" customWidth="1"/>
    <col min="9191" max="9191" width="9.09765625" style="1" customWidth="1"/>
    <col min="9192" max="9200" width="7.09765625" style="1" customWidth="1"/>
    <col min="9201" max="9444" width="9" style="1" customWidth="1"/>
    <col min="9445" max="9446" width="7" style="1" customWidth="1"/>
    <col min="9447" max="9447" width="9.09765625" style="1" customWidth="1"/>
    <col min="9448" max="9456" width="7.09765625" style="1" customWidth="1"/>
    <col min="9457" max="9700" width="9" style="1" customWidth="1"/>
    <col min="9701" max="9702" width="7" style="1" customWidth="1"/>
    <col min="9703" max="9703" width="9.09765625" style="1" customWidth="1"/>
    <col min="9704" max="9712" width="7.09765625" style="1" customWidth="1"/>
    <col min="9713" max="9956" width="9" style="1" customWidth="1"/>
    <col min="9957" max="9958" width="7" style="1" customWidth="1"/>
    <col min="9959" max="9959" width="9.09765625" style="1" customWidth="1"/>
    <col min="9960" max="9968" width="7.09765625" style="1" customWidth="1"/>
    <col min="9969" max="10212" width="9" style="1" customWidth="1"/>
    <col min="10213" max="10214" width="7" style="1" customWidth="1"/>
    <col min="10215" max="10215" width="9.09765625" style="1" customWidth="1"/>
    <col min="10216" max="10224" width="7.09765625" style="1" customWidth="1"/>
    <col min="10225" max="10468" width="9" style="1" customWidth="1"/>
    <col min="10469" max="10470" width="7" style="1" customWidth="1"/>
    <col min="10471" max="10471" width="9.09765625" style="1" customWidth="1"/>
    <col min="10472" max="10480" width="7.09765625" style="1" customWidth="1"/>
    <col min="10481" max="10724" width="9" style="1" customWidth="1"/>
    <col min="10725" max="10726" width="7" style="1" customWidth="1"/>
    <col min="10727" max="10727" width="9.09765625" style="1" customWidth="1"/>
    <col min="10728" max="10736" width="7.09765625" style="1" customWidth="1"/>
    <col min="10737" max="10980" width="9" style="1" customWidth="1"/>
    <col min="10981" max="10982" width="7" style="1" customWidth="1"/>
    <col min="10983" max="10983" width="9.09765625" style="1" customWidth="1"/>
    <col min="10984" max="10992" width="7.09765625" style="1" customWidth="1"/>
    <col min="10993" max="11236" width="9" style="1" customWidth="1"/>
    <col min="11237" max="11238" width="7" style="1" customWidth="1"/>
    <col min="11239" max="11239" width="9.09765625" style="1" customWidth="1"/>
    <col min="11240" max="11248" width="7.09765625" style="1" customWidth="1"/>
    <col min="11249" max="11492" width="9" style="1" customWidth="1"/>
    <col min="11493" max="11494" width="7" style="1" customWidth="1"/>
    <col min="11495" max="11495" width="9.09765625" style="1" customWidth="1"/>
    <col min="11496" max="11504" width="7.09765625" style="1" customWidth="1"/>
    <col min="11505" max="11748" width="9" style="1" customWidth="1"/>
    <col min="11749" max="11750" width="7" style="1" customWidth="1"/>
    <col min="11751" max="11751" width="9.09765625" style="1" customWidth="1"/>
    <col min="11752" max="11760" width="7.09765625" style="1" customWidth="1"/>
    <col min="11761" max="12004" width="9" style="1" customWidth="1"/>
    <col min="12005" max="12006" width="7" style="1" customWidth="1"/>
    <col min="12007" max="12007" width="9.09765625" style="1" customWidth="1"/>
    <col min="12008" max="12016" width="7.09765625" style="1" customWidth="1"/>
    <col min="12017" max="12260" width="9" style="1" customWidth="1"/>
    <col min="12261" max="12262" width="7" style="1" customWidth="1"/>
    <col min="12263" max="12263" width="9.09765625" style="1" customWidth="1"/>
    <col min="12264" max="12272" width="7.09765625" style="1" customWidth="1"/>
    <col min="12273" max="12516" width="9" style="1" customWidth="1"/>
    <col min="12517" max="12518" width="7" style="1" customWidth="1"/>
    <col min="12519" max="12519" width="9.09765625" style="1" customWidth="1"/>
    <col min="12520" max="12528" width="7.09765625" style="1" customWidth="1"/>
    <col min="12529" max="12772" width="9" style="1" customWidth="1"/>
    <col min="12773" max="12774" width="7" style="1" customWidth="1"/>
    <col min="12775" max="12775" width="9.09765625" style="1" customWidth="1"/>
    <col min="12776" max="12784" width="7.09765625" style="1" customWidth="1"/>
    <col min="12785" max="13028" width="9" style="1" customWidth="1"/>
    <col min="13029" max="13030" width="7" style="1" customWidth="1"/>
    <col min="13031" max="13031" width="9.09765625" style="1" customWidth="1"/>
    <col min="13032" max="13040" width="7.09765625" style="1" customWidth="1"/>
    <col min="13041" max="13284" width="9" style="1" customWidth="1"/>
    <col min="13285" max="13286" width="7" style="1" customWidth="1"/>
    <col min="13287" max="13287" width="9.09765625" style="1" customWidth="1"/>
    <col min="13288" max="13296" width="7.09765625" style="1" customWidth="1"/>
    <col min="13297" max="13540" width="9" style="1" customWidth="1"/>
    <col min="13541" max="13542" width="7" style="1" customWidth="1"/>
    <col min="13543" max="13543" width="9.09765625" style="1" customWidth="1"/>
    <col min="13544" max="13552" width="7.09765625" style="1" customWidth="1"/>
    <col min="13553" max="13796" width="9" style="1" customWidth="1"/>
    <col min="13797" max="13798" width="7" style="1" customWidth="1"/>
    <col min="13799" max="13799" width="9.09765625" style="1" customWidth="1"/>
    <col min="13800" max="13808" width="7.09765625" style="1" customWidth="1"/>
    <col min="13809" max="14052" width="9" style="1" customWidth="1"/>
    <col min="14053" max="14054" width="7" style="1" customWidth="1"/>
    <col min="14055" max="14055" width="9.09765625" style="1" customWidth="1"/>
    <col min="14056" max="14064" width="7.09765625" style="1" customWidth="1"/>
    <col min="14065" max="14308" width="9" style="1" customWidth="1"/>
    <col min="14309" max="14310" width="7" style="1" customWidth="1"/>
    <col min="14311" max="14311" width="9.09765625" style="1" customWidth="1"/>
    <col min="14312" max="14320" width="7.09765625" style="1" customWidth="1"/>
    <col min="14321" max="14564" width="9" style="1" customWidth="1"/>
    <col min="14565" max="14566" width="7" style="1" customWidth="1"/>
    <col min="14567" max="14567" width="9.09765625" style="1" customWidth="1"/>
    <col min="14568" max="14576" width="7.09765625" style="1" customWidth="1"/>
    <col min="14577" max="14820" width="9" style="1" customWidth="1"/>
    <col min="14821" max="14822" width="7" style="1" customWidth="1"/>
    <col min="14823" max="14823" width="9.09765625" style="1" customWidth="1"/>
    <col min="14824" max="14832" width="7.09765625" style="1" customWidth="1"/>
    <col min="14833" max="15076" width="9" style="1" customWidth="1"/>
    <col min="15077" max="15078" width="7" style="1" customWidth="1"/>
    <col min="15079" max="15079" width="9.09765625" style="1" customWidth="1"/>
    <col min="15080" max="15088" width="7.09765625" style="1" customWidth="1"/>
    <col min="15089" max="15332" width="9" style="1" customWidth="1"/>
    <col min="15333" max="15334" width="7" style="1" customWidth="1"/>
    <col min="15335" max="15335" width="9.09765625" style="1" customWidth="1"/>
    <col min="15336" max="15344" width="7.09765625" style="1" customWidth="1"/>
    <col min="15345" max="15588" width="9" style="1" customWidth="1"/>
    <col min="15589" max="15590" width="7" style="1" customWidth="1"/>
    <col min="15591" max="15591" width="9.09765625" style="1" customWidth="1"/>
    <col min="15592" max="15600" width="7.09765625" style="1" customWidth="1"/>
    <col min="15601" max="15844" width="9" style="1" customWidth="1"/>
    <col min="15845" max="15846" width="7" style="1" customWidth="1"/>
    <col min="15847" max="15847" width="9.09765625" style="1" customWidth="1"/>
    <col min="15848" max="15856" width="7.09765625" style="1" customWidth="1"/>
    <col min="15857" max="16100" width="9" style="1" customWidth="1"/>
    <col min="16101" max="16102" width="7" style="1" customWidth="1"/>
    <col min="16103" max="16103" width="9.09765625" style="1" customWidth="1"/>
    <col min="16104" max="16112" width="7.09765625" style="1" customWidth="1"/>
    <col min="16113" max="16384" width="9" style="1" customWidth="1"/>
  </cols>
  <sheetData>
    <row r="1" ht="33" customHeight="1" spans="1:25" s="3" customFormat="1" x14ac:dyDescent="0.25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24.3" customHeight="1" spans="1:25" x14ac:dyDescent="0.25">
      <c r="A2" s="1"/>
      <c r="B2" s="5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3" customHeight="1" spans="1:25" x14ac:dyDescent="0.25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5">
      <c r="A4" s="8" t="s">
        <v>2</v>
      </c>
      <c r="B4" s="556" t="s">
        <v>3</v>
      </c>
      <c r="C4" s="1"/>
      <c r="D4" s="2"/>
      <c r="E4" s="1"/>
      <c r="F4" s="10" t="s">
        <v>4</v>
      </c>
      <c r="G4" s="557"/>
      <c r="H4" s="1"/>
      <c r="I4" s="1"/>
      <c r="J4" s="1" t="s">
        <v>5</v>
      </c>
      <c r="K4" s="558"/>
      <c r="L4" s="1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3" customHeight="1" spans="1:25" x14ac:dyDescent="0.25">
      <c r="A5" s="1"/>
      <c r="B5" s="1"/>
      <c r="C5" s="1"/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15.6" customHeight="1" spans="1:25" x14ac:dyDescent="0.25">
      <c r="A6" s="8" t="s">
        <v>6</v>
      </c>
      <c r="B6" s="557"/>
      <c r="C6" s="1"/>
      <c r="D6" s="2"/>
      <c r="E6" s="1"/>
      <c r="F6" s="14" t="s">
        <v>7</v>
      </c>
      <c r="G6" s="557"/>
      <c r="H6" s="1"/>
      <c r="I6" s="1"/>
      <c r="J6" s="1" t="s">
        <v>8</v>
      </c>
      <c r="K6" s="558"/>
      <c r="L6" s="15" t="s">
        <v>9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3" customHeight="1" spans="1:25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5" customHeight="1" spans="1:25" s="13" customFormat="1" x14ac:dyDescent="0.25">
      <c r="A8" s="16" t="s">
        <v>10</v>
      </c>
      <c r="B8" s="17" t="s">
        <v>11</v>
      </c>
      <c r="C8" s="18" t="s">
        <v>12</v>
      </c>
      <c r="D8" s="19" t="str">
        <f>+"DISCH ("&amp;D80+E80+F80+G80+D81+E81+F81+G81&amp;")"</f>
        <v>DISCH (266)</v>
      </c>
      <c r="E8" s="20"/>
      <c r="F8" s="20"/>
      <c r="G8" s="20"/>
      <c r="H8" s="19" t="str">
        <f>+"LOAD ("&amp;H80+I80+J80+K80+H81+I81+J81+K81&amp;")"</f>
        <v>LOAD (293)</v>
      </c>
      <c r="I8" s="20"/>
      <c r="J8" s="20"/>
      <c r="K8" s="21"/>
      <c r="L8" s="22" t="str">
        <f>+"SHIFT ("&amp;L80+M80+N80+O80+L81+M81+N81+O81&amp;")"</f>
        <v>SHIFT (0)</v>
      </c>
      <c r="M8" s="23"/>
      <c r="N8" s="24"/>
      <c r="O8" s="25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ht="15" customHeight="1" spans="1:25" x14ac:dyDescent="0.25">
      <c r="A9" s="26"/>
      <c r="B9" s="27"/>
      <c r="C9" s="28" t="s">
        <v>13</v>
      </c>
      <c r="D9" s="29" t="s">
        <v>14</v>
      </c>
      <c r="E9" s="30" t="s">
        <v>15</v>
      </c>
      <c r="F9" s="30" t="s">
        <v>16</v>
      </c>
      <c r="G9" s="31" t="s">
        <v>17</v>
      </c>
      <c r="H9" s="32" t="s">
        <v>14</v>
      </c>
      <c r="I9" s="30" t="s">
        <v>15</v>
      </c>
      <c r="J9" s="30" t="s">
        <v>16</v>
      </c>
      <c r="K9" s="33" t="s">
        <v>17</v>
      </c>
      <c r="L9" s="34" t="s">
        <v>14</v>
      </c>
      <c r="M9" s="30" t="s">
        <v>15</v>
      </c>
      <c r="N9" s="30" t="s">
        <v>16</v>
      </c>
      <c r="O9" s="33" t="s">
        <v>17</v>
      </c>
      <c r="P9" s="1"/>
      <c r="Q9" s="1"/>
      <c r="R9" s="1"/>
      <c r="S9" s="1"/>
      <c r="T9" s="1"/>
      <c r="U9" s="1"/>
      <c r="V9" s="1"/>
      <c r="W9" s="1"/>
      <c r="X9" s="1"/>
      <c r="Y9" s="1"/>
    </row>
    <row r="10" ht="13.95" customHeight="1" spans="1:25" s="35" customFormat="1" x14ac:dyDescent="0.25">
      <c r="A10" s="36"/>
      <c r="B10" s="37"/>
      <c r="C10" s="38" t="s">
        <v>18</v>
      </c>
      <c r="D10" s="39"/>
      <c r="E10" s="40"/>
      <c r="F10" s="40"/>
      <c r="G10" s="41"/>
      <c r="H10" s="39"/>
      <c r="I10" s="40"/>
      <c r="J10" s="40"/>
      <c r="K10" s="42"/>
      <c r="L10" s="43"/>
      <c r="M10" s="40"/>
      <c r="N10" s="40"/>
      <c r="O10" s="42"/>
      <c r="P10" s="35"/>
      <c r="Q10" s="35"/>
      <c r="R10" s="35"/>
      <c r="S10" s="35"/>
      <c r="T10" s="35"/>
      <c r="U10" s="35"/>
      <c r="V10" s="35"/>
      <c r="W10" s="35"/>
      <c r="X10" s="35"/>
      <c r="Y10" s="35"/>
    </row>
    <row r="11" ht="13.95" customHeight="1" spans="1:25" s="35" customFormat="1" x14ac:dyDescent="0.25">
      <c r="A11" s="44"/>
      <c r="B11" s="45"/>
      <c r="C11" s="46" t="s">
        <v>19</v>
      </c>
      <c r="D11" s="47"/>
      <c r="E11" s="48"/>
      <c r="F11" s="48"/>
      <c r="G11" s="49"/>
      <c r="H11" s="47"/>
      <c r="I11" s="48"/>
      <c r="J11" s="48"/>
      <c r="K11" s="50"/>
      <c r="L11" s="51"/>
      <c r="M11" s="48"/>
      <c r="N11" s="48"/>
      <c r="O11" s="50"/>
      <c r="P11" s="35"/>
      <c r="Q11" s="35"/>
      <c r="R11" s="35"/>
      <c r="S11" s="35"/>
      <c r="T11" s="35"/>
      <c r="U11" s="35"/>
      <c r="V11" s="35"/>
      <c r="W11" s="35"/>
      <c r="X11" s="35"/>
      <c r="Y11" s="35"/>
    </row>
    <row r="12" ht="13.95" customHeight="1" spans="1:25" s="35" customFormat="1" x14ac:dyDescent="0.25">
      <c r="A12" s="44"/>
      <c r="B12" s="52"/>
      <c r="C12" s="46" t="s">
        <v>18</v>
      </c>
      <c r="D12" s="47"/>
      <c r="E12" s="48"/>
      <c r="F12" s="48"/>
      <c r="G12" s="49"/>
      <c r="H12" s="47"/>
      <c r="I12" s="48"/>
      <c r="J12" s="48"/>
      <c r="K12" s="50"/>
      <c r="L12" s="51"/>
      <c r="M12" s="48"/>
      <c r="N12" s="48"/>
      <c r="O12" s="50"/>
      <c r="P12" s="35"/>
      <c r="Q12" s="35"/>
      <c r="R12" s="35"/>
      <c r="S12" s="35"/>
      <c r="T12" s="35"/>
      <c r="U12" s="35"/>
      <c r="V12" s="35"/>
      <c r="W12" s="35"/>
      <c r="X12" s="35"/>
      <c r="Y12" s="35"/>
    </row>
    <row r="13" ht="13.95" customHeight="1" spans="1:25" s="35" customFormat="1" x14ac:dyDescent="0.25">
      <c r="A13" s="44"/>
      <c r="B13" s="45"/>
      <c r="C13" s="46" t="s">
        <v>19</v>
      </c>
      <c r="D13" s="47"/>
      <c r="E13" s="48"/>
      <c r="F13" s="48"/>
      <c r="G13" s="49"/>
      <c r="H13" s="47"/>
      <c r="I13" s="48"/>
      <c r="J13" s="48"/>
      <c r="K13" s="50"/>
      <c r="L13" s="51"/>
      <c r="M13" s="48"/>
      <c r="N13" s="48"/>
      <c r="O13" s="50"/>
      <c r="P13" s="35"/>
      <c r="Q13" s="35"/>
      <c r="R13" s="35"/>
      <c r="S13" s="35"/>
      <c r="T13" s="35"/>
      <c r="U13" s="35"/>
      <c r="V13" s="35"/>
      <c r="W13" s="35"/>
      <c r="X13" s="35"/>
      <c r="Y13" s="35"/>
    </row>
    <row r="14" ht="13.95" customHeight="1" spans="1:25" s="35" customFormat="1" x14ac:dyDescent="0.25">
      <c r="A14" s="44"/>
      <c r="B14" s="52"/>
      <c r="C14" s="53" t="s">
        <v>18</v>
      </c>
      <c r="D14" s="47"/>
      <c r="E14" s="48"/>
      <c r="F14" s="48"/>
      <c r="G14" s="49"/>
      <c r="H14" s="47"/>
      <c r="I14" s="48"/>
      <c r="J14" s="48"/>
      <c r="K14" s="50"/>
      <c r="L14" s="51"/>
      <c r="M14" s="48"/>
      <c r="N14" s="48"/>
      <c r="O14" s="50"/>
      <c r="P14" s="35"/>
      <c r="Q14" s="35"/>
      <c r="R14" s="35"/>
      <c r="S14" s="35"/>
      <c r="T14" s="35"/>
      <c r="U14" s="35"/>
      <c r="V14" s="35"/>
      <c r="W14" s="35"/>
      <c r="X14" s="35"/>
      <c r="Y14" s="35"/>
    </row>
    <row r="15" ht="13.95" customHeight="1" spans="1:25" s="35" customFormat="1" x14ac:dyDescent="0.25">
      <c r="A15" s="44"/>
      <c r="B15" s="45"/>
      <c r="C15" s="53" t="s">
        <v>19</v>
      </c>
      <c r="D15" s="47"/>
      <c r="E15" s="48"/>
      <c r="F15" s="48"/>
      <c r="G15" s="49"/>
      <c r="H15" s="47"/>
      <c r="I15" s="48"/>
      <c r="J15" s="48"/>
      <c r="K15" s="50"/>
      <c r="L15" s="51"/>
      <c r="M15" s="48"/>
      <c r="N15" s="48"/>
      <c r="O15" s="50"/>
      <c r="P15" s="35"/>
      <c r="Q15" s="35"/>
      <c r="R15" s="35"/>
      <c r="S15" s="35"/>
      <c r="T15" s="35"/>
      <c r="U15" s="35"/>
      <c r="V15" s="35"/>
      <c r="W15" s="35"/>
      <c r="X15" s="35"/>
      <c r="Y15" s="35"/>
    </row>
    <row r="16" ht="13.95" customHeight="1" spans="1:25" s="35" customFormat="1" x14ac:dyDescent="0.25">
      <c r="A16" s="44"/>
      <c r="B16" s="52"/>
      <c r="C16" s="53" t="s">
        <v>18</v>
      </c>
      <c r="D16" s="47"/>
      <c r="E16" s="48"/>
      <c r="F16" s="48"/>
      <c r="G16" s="54"/>
      <c r="H16" s="51"/>
      <c r="I16" s="48"/>
      <c r="J16" s="48"/>
      <c r="K16" s="55"/>
      <c r="L16" s="47"/>
      <c r="M16" s="48"/>
      <c r="N16" s="48"/>
      <c r="O16" s="54"/>
      <c r="P16" s="35"/>
      <c r="Q16" s="35"/>
      <c r="R16" s="35"/>
      <c r="S16" s="35"/>
      <c r="T16" s="35"/>
      <c r="U16" s="35"/>
      <c r="V16" s="35"/>
      <c r="W16" s="35"/>
      <c r="X16" s="35"/>
      <c r="Y16" s="35"/>
    </row>
    <row r="17" ht="13.95" customHeight="1" spans="1:25" s="35" customFormat="1" x14ac:dyDescent="0.25">
      <c r="A17" s="44"/>
      <c r="B17" s="45"/>
      <c r="C17" s="53" t="s">
        <v>19</v>
      </c>
      <c r="D17" s="47"/>
      <c r="E17" s="48"/>
      <c r="F17" s="48"/>
      <c r="G17" s="54"/>
      <c r="H17" s="51"/>
      <c r="I17" s="48"/>
      <c r="J17" s="48"/>
      <c r="K17" s="55"/>
      <c r="L17" s="47"/>
      <c r="M17" s="48"/>
      <c r="N17" s="48"/>
      <c r="O17" s="54"/>
      <c r="P17" s="35"/>
      <c r="Q17" s="35"/>
      <c r="R17" s="35"/>
      <c r="S17" s="35"/>
      <c r="T17" s="35"/>
      <c r="U17" s="35"/>
      <c r="V17" s="35"/>
      <c r="W17" s="35"/>
      <c r="X17" s="35"/>
      <c r="Y17" s="35"/>
    </row>
    <row r="18" ht="13.95" customHeight="1" spans="1:25" s="35" customFormat="1" x14ac:dyDescent="0.25">
      <c r="A18" s="44"/>
      <c r="B18" s="52"/>
      <c r="C18" s="53" t="s">
        <v>18</v>
      </c>
      <c r="D18" s="47"/>
      <c r="E18" s="48"/>
      <c r="F18" s="48"/>
      <c r="G18" s="54"/>
      <c r="H18" s="51"/>
      <c r="I18" s="48"/>
      <c r="J18" s="48"/>
      <c r="K18" s="55"/>
      <c r="L18" s="47"/>
      <c r="M18" s="48"/>
      <c r="N18" s="48"/>
      <c r="O18" s="54"/>
      <c r="P18" s="35"/>
      <c r="Q18" s="35"/>
      <c r="R18" s="35"/>
      <c r="S18" s="35"/>
      <c r="T18" s="35"/>
      <c r="U18" s="35"/>
      <c r="V18" s="35"/>
      <c r="W18" s="35"/>
      <c r="X18" s="35"/>
      <c r="Y18" s="35"/>
    </row>
    <row r="19" ht="13.95" customHeight="1" spans="1:25" s="35" customFormat="1" x14ac:dyDescent="0.25">
      <c r="A19" s="44"/>
      <c r="B19" s="56"/>
      <c r="C19" s="57" t="s">
        <v>19</v>
      </c>
      <c r="D19" s="58"/>
      <c r="E19" s="59"/>
      <c r="F19" s="59"/>
      <c r="G19" s="60"/>
      <c r="H19" s="61"/>
      <c r="I19" s="59"/>
      <c r="J19" s="59"/>
      <c r="K19" s="62"/>
      <c r="L19" s="58"/>
      <c r="M19" s="59"/>
      <c r="N19" s="59"/>
      <c r="O19" s="60"/>
      <c r="P19" s="35"/>
      <c r="Q19" s="35"/>
      <c r="R19" s="35"/>
      <c r="S19" s="35"/>
      <c r="T19" s="35"/>
      <c r="U19" s="35"/>
      <c r="V19" s="35"/>
      <c r="W19" s="35"/>
      <c r="X19" s="35"/>
      <c r="Y19" s="35"/>
    </row>
    <row r="20" ht="12" customHeight="1" hidden="1" spans="1:25" s="35" customFormat="1" x14ac:dyDescent="0.25">
      <c r="A20" s="44"/>
      <c r="B20" s="63"/>
      <c r="C20" s="64" t="s">
        <v>18</v>
      </c>
      <c r="D20" s="65"/>
      <c r="E20" s="66"/>
      <c r="F20" s="66"/>
      <c r="G20" s="67"/>
      <c r="H20" s="68"/>
      <c r="I20" s="66"/>
      <c r="J20" s="66"/>
      <c r="K20" s="69"/>
      <c r="L20" s="65"/>
      <c r="M20" s="66"/>
      <c r="N20" s="66"/>
      <c r="O20" s="67"/>
      <c r="P20" s="35"/>
      <c r="Q20" s="35"/>
      <c r="R20" s="35"/>
      <c r="S20" s="35"/>
      <c r="T20" s="35"/>
      <c r="U20" s="35"/>
      <c r="V20" s="35"/>
      <c r="W20" s="35"/>
      <c r="X20" s="35"/>
      <c r="Y20" s="35"/>
    </row>
    <row r="21" ht="12" customHeight="1" hidden="1" spans="1:25" s="35" customFormat="1" x14ac:dyDescent="0.25">
      <c r="A21" s="70"/>
      <c r="B21" s="56"/>
      <c r="C21" s="57" t="s">
        <v>19</v>
      </c>
      <c r="D21" s="58"/>
      <c r="E21" s="59"/>
      <c r="F21" s="59"/>
      <c r="G21" s="60"/>
      <c r="H21" s="61"/>
      <c r="I21" s="59"/>
      <c r="J21" s="59"/>
      <c r="K21" s="71"/>
      <c r="L21" s="58"/>
      <c r="M21" s="59"/>
      <c r="N21" s="59"/>
      <c r="O21" s="60"/>
      <c r="P21" s="35"/>
      <c r="Q21" s="35"/>
      <c r="R21" s="35"/>
      <c r="S21" s="35"/>
      <c r="T21" s="35"/>
      <c r="U21" s="35"/>
      <c r="V21" s="35"/>
      <c r="W21" s="35"/>
      <c r="X21" s="35"/>
      <c r="Y21" s="35"/>
    </row>
    <row r="22" ht="13.95" customHeight="1" spans="1:25" s="35" customFormat="1" x14ac:dyDescent="0.25">
      <c r="A22" s="72"/>
      <c r="B22" s="63"/>
      <c r="C22" s="73" t="s">
        <v>18</v>
      </c>
      <c r="D22" s="65"/>
      <c r="E22" s="66"/>
      <c r="F22" s="66"/>
      <c r="G22" s="74"/>
      <c r="H22" s="65"/>
      <c r="I22" s="66"/>
      <c r="J22" s="66"/>
      <c r="K22" s="75"/>
      <c r="L22" s="68"/>
      <c r="M22" s="66"/>
      <c r="N22" s="66"/>
      <c r="O22" s="75"/>
      <c r="P22" s="35"/>
      <c r="Q22" s="35"/>
      <c r="R22" s="35"/>
      <c r="S22" s="35"/>
      <c r="T22" s="35"/>
      <c r="U22" s="35"/>
      <c r="V22" s="35"/>
      <c r="W22" s="35"/>
      <c r="X22" s="35"/>
      <c r="Y22" s="35"/>
    </row>
    <row r="23" ht="13.95" customHeight="1" spans="1:25" s="35" customFormat="1" x14ac:dyDescent="0.25">
      <c r="A23" s="44"/>
      <c r="B23" s="45"/>
      <c r="C23" s="46" t="s">
        <v>19</v>
      </c>
      <c r="D23" s="47"/>
      <c r="E23" s="48"/>
      <c r="F23" s="48"/>
      <c r="G23" s="49"/>
      <c r="H23" s="47"/>
      <c r="I23" s="48"/>
      <c r="J23" s="48"/>
      <c r="K23" s="50"/>
      <c r="L23" s="51"/>
      <c r="M23" s="48"/>
      <c r="N23" s="48"/>
      <c r="O23" s="50"/>
      <c r="P23" s="35"/>
      <c r="Q23" s="35"/>
      <c r="R23" s="35"/>
      <c r="S23" s="35"/>
      <c r="T23" s="35"/>
      <c r="U23" s="35"/>
      <c r="V23" s="35"/>
      <c r="W23" s="35"/>
      <c r="X23" s="35"/>
      <c r="Y23" s="35"/>
    </row>
    <row r="24" ht="12" customHeight="1" hidden="1" spans="1:25" s="35" customFormat="1" x14ac:dyDescent="0.25">
      <c r="A24" s="44"/>
      <c r="B24" s="52"/>
      <c r="C24" s="46" t="s">
        <v>18</v>
      </c>
      <c r="D24" s="47"/>
      <c r="E24" s="48"/>
      <c r="F24" s="48"/>
      <c r="G24" s="49"/>
      <c r="H24" s="47"/>
      <c r="I24" s="48"/>
      <c r="J24" s="48"/>
      <c r="K24" s="50"/>
      <c r="L24" s="51"/>
      <c r="M24" s="48"/>
      <c r="N24" s="48"/>
      <c r="O24" s="50"/>
      <c r="P24" s="35"/>
      <c r="Q24" s="35"/>
      <c r="R24" s="35"/>
      <c r="S24" s="35"/>
      <c r="T24" s="35"/>
      <c r="U24" s="35"/>
      <c r="V24" s="35"/>
      <c r="W24" s="35"/>
      <c r="X24" s="35"/>
      <c r="Y24" s="35"/>
    </row>
    <row r="25" ht="12" customHeight="1" hidden="1" spans="1:25" s="35" customFormat="1" x14ac:dyDescent="0.25">
      <c r="A25" s="44"/>
      <c r="B25" s="45"/>
      <c r="C25" s="46" t="s">
        <v>19</v>
      </c>
      <c r="D25" s="47"/>
      <c r="E25" s="48"/>
      <c r="F25" s="48"/>
      <c r="G25" s="49"/>
      <c r="H25" s="47"/>
      <c r="I25" s="48"/>
      <c r="J25" s="48"/>
      <c r="K25" s="50"/>
      <c r="L25" s="51"/>
      <c r="M25" s="48"/>
      <c r="N25" s="48"/>
      <c r="O25" s="50"/>
      <c r="P25" s="35"/>
      <c r="Q25" s="35"/>
      <c r="R25" s="35"/>
      <c r="S25" s="35"/>
      <c r="T25" s="35"/>
      <c r="U25" s="35"/>
      <c r="V25" s="35"/>
      <c r="W25" s="35"/>
      <c r="X25" s="35"/>
      <c r="Y25" s="35"/>
    </row>
    <row r="26" ht="13.95" customHeight="1" spans="1:25" s="35" customFormat="1" x14ac:dyDescent="0.25">
      <c r="A26" s="44"/>
      <c r="B26" s="52"/>
      <c r="C26" s="53" t="s">
        <v>18</v>
      </c>
      <c r="D26" s="47"/>
      <c r="E26" s="48"/>
      <c r="F26" s="48"/>
      <c r="G26" s="49"/>
      <c r="H26" s="47"/>
      <c r="I26" s="48"/>
      <c r="J26" s="48"/>
      <c r="K26" s="50"/>
      <c r="L26" s="51"/>
      <c r="M26" s="48"/>
      <c r="N26" s="48"/>
      <c r="O26" s="50"/>
      <c r="P26" s="35"/>
      <c r="Q26" s="35"/>
      <c r="R26" s="35"/>
      <c r="S26" s="35"/>
      <c r="T26" s="35"/>
      <c r="U26" s="35"/>
      <c r="V26" s="35"/>
      <c r="W26" s="35"/>
      <c r="X26" s="35"/>
      <c r="Y26" s="35"/>
    </row>
    <row r="27" ht="13.95" customHeight="1" spans="1:25" s="35" customFormat="1" x14ac:dyDescent="0.25">
      <c r="A27" s="44"/>
      <c r="B27" s="45"/>
      <c r="C27" s="53" t="s">
        <v>19</v>
      </c>
      <c r="D27" s="47"/>
      <c r="E27" s="48"/>
      <c r="F27" s="48"/>
      <c r="G27" s="49"/>
      <c r="H27" s="47"/>
      <c r="I27" s="48"/>
      <c r="J27" s="48"/>
      <c r="K27" s="50"/>
      <c r="L27" s="51"/>
      <c r="M27" s="48"/>
      <c r="N27" s="48"/>
      <c r="O27" s="50"/>
      <c r="P27" s="35"/>
      <c r="Q27" s="35"/>
      <c r="R27" s="35"/>
      <c r="S27" s="35"/>
      <c r="T27" s="35"/>
      <c r="U27" s="35"/>
      <c r="V27" s="35"/>
      <c r="W27" s="35"/>
      <c r="X27" s="35"/>
      <c r="Y27" s="35"/>
    </row>
    <row r="28" ht="13.95" customHeight="1" spans="1:25" s="35" customFormat="1" x14ac:dyDescent="0.25">
      <c r="A28" s="44"/>
      <c r="B28" s="52"/>
      <c r="C28" s="53" t="s">
        <v>18</v>
      </c>
      <c r="D28" s="47"/>
      <c r="E28" s="48"/>
      <c r="F28" s="48"/>
      <c r="G28" s="54"/>
      <c r="H28" s="51"/>
      <c r="I28" s="48"/>
      <c r="J28" s="48"/>
      <c r="K28" s="55"/>
      <c r="L28" s="47"/>
      <c r="M28" s="48"/>
      <c r="N28" s="48"/>
      <c r="O28" s="54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ht="13.95" customHeight="1" spans="1:25" s="35" customFormat="1" x14ac:dyDescent="0.25">
      <c r="A29" s="44"/>
      <c r="B29" s="45"/>
      <c r="C29" s="53" t="s">
        <v>19</v>
      </c>
      <c r="D29" s="47"/>
      <c r="E29" s="48"/>
      <c r="F29" s="48"/>
      <c r="G29" s="54"/>
      <c r="H29" s="51"/>
      <c r="I29" s="48"/>
      <c r="J29" s="48"/>
      <c r="K29" s="55"/>
      <c r="L29" s="47"/>
      <c r="M29" s="48"/>
      <c r="N29" s="48"/>
      <c r="O29" s="54"/>
      <c r="P29" s="35"/>
      <c r="Q29" s="35"/>
      <c r="R29" s="35"/>
      <c r="S29" s="35"/>
      <c r="T29" s="35"/>
      <c r="U29" s="35"/>
      <c r="V29" s="35"/>
      <c r="W29" s="35"/>
      <c r="X29" s="35"/>
      <c r="Y29" s="35"/>
    </row>
    <row r="30" ht="13.95" customHeight="1" spans="1:25" s="35" customFormat="1" x14ac:dyDescent="0.25">
      <c r="A30" s="44"/>
      <c r="B30" s="52"/>
      <c r="C30" s="53" t="s">
        <v>18</v>
      </c>
      <c r="D30" s="47"/>
      <c r="E30" s="48"/>
      <c r="F30" s="48"/>
      <c r="G30" s="54"/>
      <c r="H30" s="51"/>
      <c r="I30" s="48"/>
      <c r="J30" s="48"/>
      <c r="K30" s="55"/>
      <c r="L30" s="47"/>
      <c r="M30" s="48"/>
      <c r="N30" s="48"/>
      <c r="O30" s="54"/>
      <c r="P30" s="35"/>
      <c r="Q30" s="35"/>
      <c r="R30" s="35"/>
      <c r="S30" s="35"/>
      <c r="T30" s="35"/>
      <c r="U30" s="35"/>
      <c r="V30" s="35"/>
      <c r="W30" s="35"/>
      <c r="X30" s="35"/>
      <c r="Y30" s="35"/>
    </row>
    <row r="31" ht="13.95" customHeight="1" spans="1:25" s="35" customFormat="1" x14ac:dyDescent="0.25">
      <c r="A31" s="44"/>
      <c r="B31" s="56"/>
      <c r="C31" s="57" t="s">
        <v>19</v>
      </c>
      <c r="D31" s="58"/>
      <c r="E31" s="59"/>
      <c r="F31" s="59"/>
      <c r="G31" s="60"/>
      <c r="H31" s="61"/>
      <c r="I31" s="59"/>
      <c r="J31" s="59"/>
      <c r="K31" s="71"/>
      <c r="L31" s="58"/>
      <c r="M31" s="59"/>
      <c r="N31" s="59"/>
      <c r="O31" s="60"/>
      <c r="P31" s="35"/>
      <c r="Q31" s="35"/>
      <c r="R31" s="35"/>
      <c r="S31" s="35"/>
      <c r="T31" s="35"/>
      <c r="U31" s="35"/>
      <c r="V31" s="35"/>
      <c r="W31" s="35"/>
      <c r="X31" s="35"/>
      <c r="Y31" s="35"/>
    </row>
    <row r="32" ht="12" customHeight="1" hidden="1" spans="1:25" s="35" customFormat="1" x14ac:dyDescent="0.25">
      <c r="A32" s="44"/>
      <c r="B32" s="63"/>
      <c r="C32" s="64" t="s">
        <v>18</v>
      </c>
      <c r="D32" s="65"/>
      <c r="E32" s="66"/>
      <c r="F32" s="66"/>
      <c r="G32" s="67"/>
      <c r="H32" s="68"/>
      <c r="I32" s="66"/>
      <c r="J32" s="66"/>
      <c r="K32" s="69"/>
      <c r="L32" s="65"/>
      <c r="M32" s="66"/>
      <c r="N32" s="66"/>
      <c r="O32" s="67"/>
      <c r="P32" s="35"/>
      <c r="Q32" s="35"/>
      <c r="R32" s="35"/>
      <c r="S32" s="35"/>
      <c r="T32" s="35"/>
      <c r="U32" s="35"/>
      <c r="V32" s="35"/>
      <c r="W32" s="35"/>
      <c r="X32" s="35"/>
      <c r="Y32" s="35"/>
    </row>
    <row r="33" ht="12" customHeight="1" hidden="1" spans="1:25" s="35" customFormat="1" x14ac:dyDescent="0.25">
      <c r="A33" s="70"/>
      <c r="B33" s="56"/>
      <c r="C33" s="57" t="s">
        <v>19</v>
      </c>
      <c r="D33" s="58"/>
      <c r="E33" s="59"/>
      <c r="F33" s="59"/>
      <c r="G33" s="60"/>
      <c r="H33" s="61"/>
      <c r="I33" s="59"/>
      <c r="J33" s="59"/>
      <c r="K33" s="71"/>
      <c r="L33" s="58"/>
      <c r="M33" s="59"/>
      <c r="N33" s="59"/>
      <c r="O33" s="60"/>
      <c r="P33" s="35"/>
      <c r="Q33" s="35"/>
      <c r="R33" s="35"/>
      <c r="S33" s="35"/>
      <c r="T33" s="35"/>
      <c r="U33" s="35"/>
      <c r="V33" s="35"/>
      <c r="W33" s="35"/>
      <c r="X33" s="35"/>
      <c r="Y33" s="35"/>
    </row>
    <row r="34" ht="13.95" customHeight="1" spans="1:25" s="35" customFormat="1" x14ac:dyDescent="0.25">
      <c r="A34" s="72"/>
      <c r="B34" s="63"/>
      <c r="C34" s="73" t="s">
        <v>18</v>
      </c>
      <c r="D34" s="65"/>
      <c r="E34" s="66"/>
      <c r="F34" s="66"/>
      <c r="G34" s="74"/>
      <c r="H34" s="65"/>
      <c r="I34" s="66"/>
      <c r="J34" s="66"/>
      <c r="K34" s="75"/>
      <c r="L34" s="68"/>
      <c r="M34" s="66"/>
      <c r="N34" s="66"/>
      <c r="O34" s="75"/>
      <c r="P34" s="35"/>
      <c r="Q34" s="35"/>
      <c r="R34" s="35"/>
      <c r="S34" s="35"/>
      <c r="T34" s="35"/>
      <c r="U34" s="35"/>
      <c r="V34" s="35"/>
      <c r="W34" s="35"/>
      <c r="X34" s="35"/>
      <c r="Y34" s="35"/>
    </row>
    <row r="35" ht="13.95" customHeight="1" spans="1:25" s="35" customFormat="1" x14ac:dyDescent="0.25">
      <c r="A35" s="44"/>
      <c r="B35" s="45"/>
      <c r="C35" s="46" t="s">
        <v>19</v>
      </c>
      <c r="D35" s="47"/>
      <c r="E35" s="48"/>
      <c r="F35" s="48"/>
      <c r="G35" s="49"/>
      <c r="H35" s="47"/>
      <c r="I35" s="48"/>
      <c r="J35" s="48"/>
      <c r="K35" s="50"/>
      <c r="L35" s="51"/>
      <c r="M35" s="48"/>
      <c r="N35" s="48"/>
      <c r="O35" s="50"/>
      <c r="P35" s="35"/>
      <c r="Q35" s="35"/>
      <c r="R35" s="35"/>
      <c r="S35" s="35"/>
      <c r="T35" s="35"/>
      <c r="U35" s="35"/>
      <c r="V35" s="35"/>
      <c r="W35" s="35"/>
      <c r="X35" s="35"/>
      <c r="Y35" s="35"/>
    </row>
    <row r="36" ht="13.95" customHeight="1" spans="1:25" s="35" customFormat="1" x14ac:dyDescent="0.25">
      <c r="A36" s="44"/>
      <c r="B36" s="52"/>
      <c r="C36" s="46" t="s">
        <v>18</v>
      </c>
      <c r="D36" s="47"/>
      <c r="E36" s="48"/>
      <c r="F36" s="48"/>
      <c r="G36" s="49"/>
      <c r="H36" s="47"/>
      <c r="I36" s="48"/>
      <c r="J36" s="48"/>
      <c r="K36" s="50"/>
      <c r="L36" s="51"/>
      <c r="M36" s="48"/>
      <c r="N36" s="48"/>
      <c r="O36" s="50"/>
      <c r="P36" s="35"/>
      <c r="Q36" s="35"/>
      <c r="R36" s="35"/>
      <c r="S36" s="35"/>
      <c r="T36" s="35"/>
      <c r="U36" s="35"/>
      <c r="V36" s="35"/>
      <c r="W36" s="35"/>
      <c r="X36" s="35"/>
      <c r="Y36" s="35"/>
    </row>
    <row r="37" ht="13.95" customHeight="1" spans="1:25" s="35" customFormat="1" x14ac:dyDescent="0.25">
      <c r="A37" s="44"/>
      <c r="B37" s="45"/>
      <c r="C37" s="46" t="s">
        <v>19</v>
      </c>
      <c r="D37" s="47"/>
      <c r="E37" s="48"/>
      <c r="F37" s="48"/>
      <c r="G37" s="49"/>
      <c r="H37" s="47"/>
      <c r="I37" s="48"/>
      <c r="J37" s="48"/>
      <c r="K37" s="50"/>
      <c r="L37" s="51"/>
      <c r="M37" s="48"/>
      <c r="N37" s="48"/>
      <c r="O37" s="50"/>
      <c r="P37" s="35"/>
      <c r="Q37" s="35"/>
      <c r="R37" s="35"/>
      <c r="S37" s="35"/>
      <c r="T37" s="35"/>
      <c r="U37" s="35"/>
      <c r="V37" s="35"/>
      <c r="W37" s="35"/>
      <c r="X37" s="35"/>
      <c r="Y37" s="35"/>
    </row>
    <row r="38" ht="13.95" customHeight="1" spans="1:25" s="35" customFormat="1" x14ac:dyDescent="0.25">
      <c r="A38" s="44"/>
      <c r="B38" s="52"/>
      <c r="C38" s="53" t="s">
        <v>18</v>
      </c>
      <c r="D38" s="47"/>
      <c r="E38" s="48"/>
      <c r="F38" s="48"/>
      <c r="G38" s="49"/>
      <c r="H38" s="47"/>
      <c r="I38" s="48"/>
      <c r="J38" s="48"/>
      <c r="K38" s="50"/>
      <c r="L38" s="51"/>
      <c r="M38" s="48"/>
      <c r="N38" s="48"/>
      <c r="O38" s="50"/>
      <c r="P38" s="35"/>
      <c r="Q38" s="35"/>
      <c r="R38" s="35"/>
      <c r="S38" s="35"/>
      <c r="T38" s="35"/>
      <c r="U38" s="35"/>
      <c r="V38" s="35"/>
      <c r="W38" s="35"/>
      <c r="X38" s="35"/>
      <c r="Y38" s="35"/>
    </row>
    <row r="39" ht="13.95" customHeight="1" spans="1:25" s="35" customFormat="1" x14ac:dyDescent="0.25">
      <c r="A39" s="44"/>
      <c r="B39" s="45"/>
      <c r="C39" s="53" t="s">
        <v>19</v>
      </c>
      <c r="D39" s="47"/>
      <c r="E39" s="48"/>
      <c r="F39" s="48"/>
      <c r="G39" s="49"/>
      <c r="H39" s="47"/>
      <c r="I39" s="48"/>
      <c r="J39" s="48"/>
      <c r="K39" s="50"/>
      <c r="L39" s="51"/>
      <c r="M39" s="48"/>
      <c r="N39" s="48"/>
      <c r="O39" s="50"/>
      <c r="P39" s="35"/>
      <c r="Q39" s="35"/>
      <c r="R39" s="35"/>
      <c r="S39" s="35"/>
      <c r="T39" s="35"/>
      <c r="U39" s="35"/>
      <c r="V39" s="35"/>
      <c r="W39" s="35"/>
      <c r="X39" s="35"/>
      <c r="Y39" s="35"/>
    </row>
    <row r="40" ht="13.95" customHeight="1" spans="1:25" s="35" customFormat="1" x14ac:dyDescent="0.25">
      <c r="A40" s="44"/>
      <c r="B40" s="52"/>
      <c r="C40" s="53" t="s">
        <v>18</v>
      </c>
      <c r="D40" s="47"/>
      <c r="E40" s="48"/>
      <c r="F40" s="48"/>
      <c r="G40" s="54"/>
      <c r="H40" s="51"/>
      <c r="I40" s="48"/>
      <c r="J40" s="48"/>
      <c r="K40" s="55"/>
      <c r="L40" s="47"/>
      <c r="M40" s="48"/>
      <c r="N40" s="48"/>
      <c r="O40" s="54"/>
      <c r="P40" s="35"/>
      <c r="Q40" s="35"/>
      <c r="R40" s="35"/>
      <c r="S40" s="35"/>
      <c r="T40" s="35"/>
      <c r="U40" s="35"/>
      <c r="V40" s="35"/>
      <c r="W40" s="35"/>
      <c r="X40" s="35"/>
      <c r="Y40" s="35"/>
    </row>
    <row r="41" ht="13.95" customHeight="1" spans="1:25" s="35" customFormat="1" x14ac:dyDescent="0.25">
      <c r="A41" s="44"/>
      <c r="B41" s="45"/>
      <c r="C41" s="53" t="s">
        <v>19</v>
      </c>
      <c r="D41" s="47"/>
      <c r="E41" s="48"/>
      <c r="F41" s="48"/>
      <c r="G41" s="54"/>
      <c r="H41" s="51"/>
      <c r="I41" s="48"/>
      <c r="J41" s="48"/>
      <c r="K41" s="55"/>
      <c r="L41" s="47"/>
      <c r="M41" s="48"/>
      <c r="N41" s="48"/>
      <c r="O41" s="54"/>
      <c r="P41" s="35"/>
      <c r="Q41" s="35"/>
      <c r="R41" s="35"/>
      <c r="S41" s="35"/>
      <c r="T41" s="35"/>
      <c r="U41" s="35"/>
      <c r="V41" s="35"/>
      <c r="W41" s="35"/>
      <c r="X41" s="35"/>
      <c r="Y41" s="35"/>
    </row>
    <row r="42" ht="13.95" customHeight="1" spans="1:25" s="35" customFormat="1" x14ac:dyDescent="0.25">
      <c r="A42" s="44"/>
      <c r="B42" s="52"/>
      <c r="C42" s="64" t="s">
        <v>18</v>
      </c>
      <c r="D42" s="65"/>
      <c r="E42" s="66"/>
      <c r="F42" s="66"/>
      <c r="G42" s="67"/>
      <c r="H42" s="68"/>
      <c r="I42" s="66"/>
      <c r="J42" s="66"/>
      <c r="K42" s="69"/>
      <c r="L42" s="65"/>
      <c r="M42" s="66"/>
      <c r="N42" s="66"/>
      <c r="O42" s="67"/>
      <c r="P42" s="35"/>
      <c r="Q42" s="35"/>
      <c r="R42" s="35"/>
      <c r="S42" s="35"/>
      <c r="T42" s="35"/>
      <c r="U42" s="35"/>
      <c r="V42" s="35"/>
      <c r="W42" s="35"/>
      <c r="X42" s="35"/>
      <c r="Y42" s="35"/>
    </row>
    <row r="43" ht="13.95" customHeight="1" spans="1:25" s="35" customFormat="1" x14ac:dyDescent="0.25">
      <c r="A43" s="70"/>
      <c r="B43" s="56"/>
      <c r="C43" s="57" t="s">
        <v>19</v>
      </c>
      <c r="D43" s="58"/>
      <c r="E43" s="59"/>
      <c r="F43" s="59"/>
      <c r="G43" s="60"/>
      <c r="H43" s="61"/>
      <c r="I43" s="59"/>
      <c r="J43" s="59"/>
      <c r="K43" s="71"/>
      <c r="L43" s="58"/>
      <c r="M43" s="59"/>
      <c r="N43" s="59"/>
      <c r="O43" s="60"/>
      <c r="P43" s="35"/>
      <c r="Q43" s="35"/>
      <c r="R43" s="35"/>
      <c r="S43" s="35"/>
      <c r="T43" s="35"/>
      <c r="U43" s="35"/>
      <c r="V43" s="35"/>
      <c r="W43" s="35"/>
      <c r="X43" s="35"/>
      <c r="Y43" s="35"/>
    </row>
    <row r="44" ht="12" customHeight="1" hidden="1" spans="1:25" s="35" customFormat="1" x14ac:dyDescent="0.25">
      <c r="A44" s="72"/>
      <c r="B44" s="63"/>
      <c r="C44" s="73" t="s">
        <v>18</v>
      </c>
      <c r="D44" s="65"/>
      <c r="E44" s="66"/>
      <c r="F44" s="66"/>
      <c r="G44" s="74"/>
      <c r="H44" s="65"/>
      <c r="I44" s="66"/>
      <c r="J44" s="66"/>
      <c r="K44" s="75"/>
      <c r="L44" s="68"/>
      <c r="M44" s="66"/>
      <c r="N44" s="66"/>
      <c r="O44" s="75"/>
      <c r="P44" s="35"/>
      <c r="Q44" s="35"/>
      <c r="R44" s="35"/>
      <c r="S44" s="35"/>
      <c r="T44" s="35"/>
      <c r="U44" s="35"/>
      <c r="V44" s="35"/>
      <c r="W44" s="35"/>
      <c r="X44" s="35"/>
      <c r="Y44" s="35"/>
    </row>
    <row r="45" ht="12" customHeight="1" hidden="1" spans="1:25" s="35" customFormat="1" x14ac:dyDescent="0.25">
      <c r="A45" s="44"/>
      <c r="B45" s="45"/>
      <c r="C45" s="46" t="s">
        <v>19</v>
      </c>
      <c r="D45" s="47"/>
      <c r="E45" s="48"/>
      <c r="F45" s="48"/>
      <c r="G45" s="49"/>
      <c r="H45" s="47"/>
      <c r="I45" s="48"/>
      <c r="J45" s="48"/>
      <c r="K45" s="50"/>
      <c r="L45" s="51"/>
      <c r="M45" s="48"/>
      <c r="N45" s="48"/>
      <c r="O45" s="50"/>
      <c r="P45" s="35"/>
      <c r="Q45" s="35"/>
      <c r="R45" s="35"/>
      <c r="S45" s="35"/>
      <c r="T45" s="35"/>
      <c r="U45" s="35"/>
      <c r="V45" s="35"/>
      <c r="W45" s="35"/>
      <c r="X45" s="35"/>
      <c r="Y45" s="35"/>
    </row>
    <row r="46" ht="13.95" customHeight="1" spans="1:25" s="35" customFormat="1" x14ac:dyDescent="0.25">
      <c r="A46" s="44"/>
      <c r="B46" s="52"/>
      <c r="C46" s="46" t="s">
        <v>18</v>
      </c>
      <c r="D46" s="47"/>
      <c r="E46" s="48"/>
      <c r="F46" s="48"/>
      <c r="G46" s="49"/>
      <c r="H46" s="47"/>
      <c r="I46" s="48"/>
      <c r="J46" s="48"/>
      <c r="K46" s="50"/>
      <c r="L46" s="51"/>
      <c r="M46" s="48"/>
      <c r="N46" s="48"/>
      <c r="O46" s="50"/>
      <c r="P46" s="35"/>
      <c r="Q46" s="35"/>
      <c r="R46" s="35"/>
      <c r="S46" s="35"/>
      <c r="T46" s="35"/>
      <c r="U46" s="35"/>
      <c r="V46" s="35"/>
      <c r="W46" s="35"/>
      <c r="X46" s="35"/>
      <c r="Y46" s="35"/>
    </row>
    <row r="47" ht="13.95" customHeight="1" spans="1:25" s="35" customFormat="1" x14ac:dyDescent="0.25">
      <c r="A47" s="44"/>
      <c r="B47" s="45"/>
      <c r="C47" s="46" t="s">
        <v>19</v>
      </c>
      <c r="D47" s="47"/>
      <c r="E47" s="48"/>
      <c r="F47" s="48"/>
      <c r="G47" s="49"/>
      <c r="H47" s="47"/>
      <c r="I47" s="48"/>
      <c r="J47" s="48"/>
      <c r="K47" s="50"/>
      <c r="L47" s="51"/>
      <c r="M47" s="48"/>
      <c r="N47" s="48"/>
      <c r="O47" s="50"/>
      <c r="P47" s="35"/>
      <c r="Q47" s="35"/>
      <c r="R47" s="35"/>
      <c r="S47" s="35"/>
      <c r="T47" s="35"/>
      <c r="U47" s="35"/>
      <c r="V47" s="35"/>
      <c r="W47" s="35"/>
      <c r="X47" s="35"/>
      <c r="Y47" s="35"/>
    </row>
    <row r="48" ht="13.95" customHeight="1" spans="1:25" s="35" customFormat="1" x14ac:dyDescent="0.25">
      <c r="A48" s="44"/>
      <c r="B48" s="52"/>
      <c r="C48" s="53" t="s">
        <v>18</v>
      </c>
      <c r="D48" s="47"/>
      <c r="E48" s="48"/>
      <c r="F48" s="48"/>
      <c r="G48" s="49"/>
      <c r="H48" s="47"/>
      <c r="I48" s="48"/>
      <c r="J48" s="48"/>
      <c r="K48" s="50"/>
      <c r="L48" s="51"/>
      <c r="M48" s="48"/>
      <c r="N48" s="48"/>
      <c r="O48" s="50"/>
      <c r="P48" s="35"/>
      <c r="Q48" s="35"/>
      <c r="R48" s="35"/>
      <c r="S48" s="35"/>
      <c r="T48" s="35"/>
      <c r="U48" s="35"/>
      <c r="V48" s="35"/>
      <c r="W48" s="35"/>
      <c r="X48" s="35"/>
      <c r="Y48" s="35"/>
    </row>
    <row r="49" ht="13.95" customHeight="1" spans="1:25" s="35" customFormat="1" x14ac:dyDescent="0.25">
      <c r="A49" s="44"/>
      <c r="B49" s="45"/>
      <c r="C49" s="53" t="s">
        <v>19</v>
      </c>
      <c r="D49" s="47"/>
      <c r="E49" s="48"/>
      <c r="F49" s="48"/>
      <c r="G49" s="49"/>
      <c r="H49" s="47"/>
      <c r="I49" s="48"/>
      <c r="J49" s="48"/>
      <c r="K49" s="50"/>
      <c r="L49" s="51"/>
      <c r="M49" s="48"/>
      <c r="N49" s="48"/>
      <c r="O49" s="50"/>
      <c r="P49" s="35"/>
      <c r="Q49" s="35"/>
      <c r="R49" s="35"/>
      <c r="S49" s="35"/>
      <c r="T49" s="35"/>
      <c r="U49" s="35"/>
      <c r="V49" s="35"/>
      <c r="W49" s="35"/>
      <c r="X49" s="35"/>
      <c r="Y49" s="35"/>
    </row>
    <row r="50" ht="13.95" customHeight="1" spans="1:25" s="35" customFormat="1" x14ac:dyDescent="0.25">
      <c r="A50" s="44"/>
      <c r="B50" s="52"/>
      <c r="C50" s="53" t="s">
        <v>18</v>
      </c>
      <c r="D50" s="47"/>
      <c r="E50" s="48"/>
      <c r="F50" s="48"/>
      <c r="G50" s="54"/>
      <c r="H50" s="51"/>
      <c r="I50" s="48"/>
      <c r="J50" s="48"/>
      <c r="K50" s="55"/>
      <c r="L50" s="47"/>
      <c r="M50" s="48"/>
      <c r="N50" s="48"/>
      <c r="O50" s="54"/>
      <c r="P50" s="35"/>
      <c r="Q50" s="35"/>
      <c r="R50" s="35"/>
      <c r="S50" s="35"/>
      <c r="T50" s="35"/>
      <c r="U50" s="35"/>
      <c r="V50" s="35"/>
      <c r="W50" s="35"/>
      <c r="X50" s="35"/>
      <c r="Y50" s="35"/>
    </row>
    <row r="51" ht="13.95" customHeight="1" spans="1:25" s="35" customFormat="1" x14ac:dyDescent="0.25">
      <c r="A51" s="44"/>
      <c r="B51" s="45"/>
      <c r="C51" s="53" t="s">
        <v>19</v>
      </c>
      <c r="D51" s="47"/>
      <c r="E51" s="48"/>
      <c r="F51" s="48"/>
      <c r="G51" s="54"/>
      <c r="H51" s="51"/>
      <c r="I51" s="48"/>
      <c r="J51" s="48"/>
      <c r="K51" s="55"/>
      <c r="L51" s="47"/>
      <c r="M51" s="48"/>
      <c r="N51" s="48"/>
      <c r="O51" s="54"/>
      <c r="P51" s="35"/>
      <c r="Q51" s="35"/>
      <c r="R51" s="35"/>
      <c r="S51" s="35"/>
      <c r="T51" s="35"/>
      <c r="U51" s="35"/>
      <c r="V51" s="35"/>
      <c r="W51" s="35"/>
      <c r="X51" s="35"/>
      <c r="Y51" s="35"/>
    </row>
    <row r="52" ht="13.95" customHeight="1" spans="1:25" s="35" customFormat="1" x14ac:dyDescent="0.25">
      <c r="A52" s="44"/>
      <c r="B52" s="52"/>
      <c r="C52" s="64" t="s">
        <v>18</v>
      </c>
      <c r="D52" s="65"/>
      <c r="E52" s="66"/>
      <c r="F52" s="66"/>
      <c r="G52" s="67"/>
      <c r="H52" s="68"/>
      <c r="I52" s="66"/>
      <c r="J52" s="66"/>
      <c r="K52" s="69"/>
      <c r="L52" s="65"/>
      <c r="M52" s="66"/>
      <c r="N52" s="66"/>
      <c r="O52" s="67"/>
      <c r="P52" s="35"/>
      <c r="Q52" s="35"/>
      <c r="R52" s="35"/>
      <c r="S52" s="35"/>
      <c r="T52" s="35"/>
      <c r="U52" s="35"/>
      <c r="V52" s="35"/>
      <c r="W52" s="35"/>
      <c r="X52" s="35"/>
      <c r="Y52" s="35"/>
    </row>
    <row r="53" ht="13.95" customHeight="1" spans="1:25" s="35" customFormat="1" x14ac:dyDescent="0.25">
      <c r="A53" s="70"/>
      <c r="B53" s="56"/>
      <c r="C53" s="57" t="s">
        <v>19</v>
      </c>
      <c r="D53" s="58"/>
      <c r="E53" s="59"/>
      <c r="F53" s="59"/>
      <c r="G53" s="60"/>
      <c r="H53" s="61"/>
      <c r="I53" s="59"/>
      <c r="J53" s="59"/>
      <c r="K53" s="71"/>
      <c r="L53" s="58"/>
      <c r="M53" s="59"/>
      <c r="N53" s="59"/>
      <c r="O53" s="60"/>
      <c r="P53" s="35"/>
      <c r="Q53" s="35"/>
      <c r="R53" s="35"/>
      <c r="S53" s="35"/>
      <c r="T53" s="35"/>
      <c r="U53" s="35"/>
      <c r="V53" s="35"/>
      <c r="W53" s="35"/>
      <c r="X53" s="35"/>
      <c r="Y53" s="35"/>
    </row>
    <row r="54" ht="12" customHeight="1" hidden="1" spans="1:25" s="35" customFormat="1" x14ac:dyDescent="0.25">
      <c r="A54" s="44"/>
      <c r="B54" s="63"/>
      <c r="C54" s="73" t="s">
        <v>18</v>
      </c>
      <c r="D54" s="65"/>
      <c r="E54" s="66"/>
      <c r="F54" s="66"/>
      <c r="G54" s="74"/>
      <c r="H54" s="65"/>
      <c r="I54" s="66"/>
      <c r="J54" s="66"/>
      <c r="K54" s="75"/>
      <c r="L54" s="68"/>
      <c r="M54" s="66"/>
      <c r="N54" s="66"/>
      <c r="O54" s="75"/>
      <c r="P54" s="35"/>
      <c r="Q54" s="35"/>
      <c r="R54" s="35"/>
      <c r="S54" s="35"/>
      <c r="T54" s="35"/>
      <c r="U54" s="35"/>
      <c r="V54" s="35"/>
      <c r="W54" s="35"/>
      <c r="X54" s="35"/>
      <c r="Y54" s="35"/>
    </row>
    <row r="55" ht="12" customHeight="1" hidden="1" spans="1:25" s="35" customFormat="1" x14ac:dyDescent="0.25">
      <c r="A55" s="44"/>
      <c r="B55" s="45"/>
      <c r="C55" s="46" t="s">
        <v>19</v>
      </c>
      <c r="D55" s="47"/>
      <c r="E55" s="48"/>
      <c r="F55" s="48"/>
      <c r="G55" s="49"/>
      <c r="H55" s="47"/>
      <c r="I55" s="48"/>
      <c r="J55" s="48"/>
      <c r="K55" s="50"/>
      <c r="L55" s="51"/>
      <c r="M55" s="48"/>
      <c r="N55" s="48"/>
      <c r="O55" s="50"/>
      <c r="P55" s="35"/>
      <c r="Q55" s="35"/>
      <c r="R55" s="35"/>
      <c r="S55" s="35"/>
      <c r="T55" s="35"/>
      <c r="U55" s="35"/>
      <c r="V55" s="35"/>
      <c r="W55" s="35"/>
      <c r="X55" s="35"/>
      <c r="Y55" s="35"/>
    </row>
    <row r="56" ht="12" customHeight="1" hidden="1" spans="1:25" s="35" customFormat="1" x14ac:dyDescent="0.25">
      <c r="A56" s="44"/>
      <c r="B56" s="52"/>
      <c r="C56" s="46" t="s">
        <v>18</v>
      </c>
      <c r="D56" s="47"/>
      <c r="E56" s="48"/>
      <c r="F56" s="48"/>
      <c r="G56" s="49"/>
      <c r="H56" s="47"/>
      <c r="I56" s="48"/>
      <c r="J56" s="48"/>
      <c r="K56" s="50"/>
      <c r="L56" s="51"/>
      <c r="M56" s="48"/>
      <c r="N56" s="48"/>
      <c r="O56" s="50"/>
      <c r="P56" s="35"/>
      <c r="Q56" s="35"/>
      <c r="R56" s="35"/>
      <c r="S56" s="35"/>
      <c r="T56" s="35"/>
      <c r="U56" s="35"/>
      <c r="V56" s="35"/>
      <c r="W56" s="35"/>
      <c r="X56" s="35"/>
      <c r="Y56" s="35"/>
    </row>
    <row r="57" ht="12" customHeight="1" hidden="1" spans="1:25" s="35" customFormat="1" x14ac:dyDescent="0.25">
      <c r="A57" s="44"/>
      <c r="B57" s="45"/>
      <c r="C57" s="46" t="s">
        <v>19</v>
      </c>
      <c r="D57" s="47"/>
      <c r="E57" s="48"/>
      <c r="F57" s="48"/>
      <c r="G57" s="49"/>
      <c r="H57" s="47"/>
      <c r="I57" s="48"/>
      <c r="J57" s="48"/>
      <c r="K57" s="50"/>
      <c r="L57" s="51"/>
      <c r="M57" s="48"/>
      <c r="N57" s="48"/>
      <c r="O57" s="50"/>
      <c r="P57" s="35"/>
      <c r="Q57" s="35"/>
      <c r="R57" s="35"/>
      <c r="S57" s="35"/>
      <c r="T57" s="35"/>
      <c r="U57" s="35"/>
      <c r="V57" s="35"/>
      <c r="W57" s="35"/>
      <c r="X57" s="35"/>
      <c r="Y57" s="35"/>
    </row>
    <row r="58" ht="13.95" customHeight="1" spans="1:25" s="35" customFormat="1" x14ac:dyDescent="0.25">
      <c r="A58" s="44"/>
      <c r="B58" s="52"/>
      <c r="C58" s="53" t="s">
        <v>18</v>
      </c>
      <c r="D58" s="47"/>
      <c r="E58" s="48"/>
      <c r="F58" s="48"/>
      <c r="G58" s="49"/>
      <c r="H58" s="47"/>
      <c r="I58" s="48"/>
      <c r="J58" s="48"/>
      <c r="K58" s="50"/>
      <c r="L58" s="51"/>
      <c r="M58" s="48"/>
      <c r="N58" s="48"/>
      <c r="O58" s="50"/>
      <c r="P58" s="35"/>
      <c r="Q58" s="35"/>
      <c r="R58" s="35"/>
      <c r="S58" s="35"/>
      <c r="T58" s="35"/>
      <c r="U58" s="35"/>
      <c r="V58" s="35"/>
      <c r="W58" s="35"/>
      <c r="X58" s="35"/>
      <c r="Y58" s="35"/>
    </row>
    <row r="59" ht="13.95" customHeight="1" spans="1:25" s="35" customFormat="1" x14ac:dyDescent="0.25">
      <c r="A59" s="44"/>
      <c r="B59" s="45"/>
      <c r="C59" s="53" t="s">
        <v>19</v>
      </c>
      <c r="D59" s="47"/>
      <c r="E59" s="48"/>
      <c r="F59" s="48"/>
      <c r="G59" s="49"/>
      <c r="H59" s="47"/>
      <c r="I59" s="48"/>
      <c r="J59" s="48"/>
      <c r="K59" s="50"/>
      <c r="L59" s="51"/>
      <c r="M59" s="48"/>
      <c r="N59" s="48"/>
      <c r="O59" s="50"/>
      <c r="P59" s="35"/>
      <c r="Q59" s="35"/>
      <c r="R59" s="35"/>
      <c r="S59" s="35"/>
      <c r="T59" s="35"/>
      <c r="U59" s="35"/>
      <c r="V59" s="35"/>
      <c r="W59" s="35"/>
      <c r="X59" s="35"/>
      <c r="Y59" s="35"/>
    </row>
    <row r="60" ht="13.95" customHeight="1" spans="1:25" s="35" customFormat="1" x14ac:dyDescent="0.25">
      <c r="A60" s="44"/>
      <c r="B60" s="52"/>
      <c r="C60" s="53" t="s">
        <v>18</v>
      </c>
      <c r="D60" s="47"/>
      <c r="E60" s="48"/>
      <c r="F60" s="48"/>
      <c r="G60" s="54"/>
      <c r="H60" s="51"/>
      <c r="I60" s="48"/>
      <c r="J60" s="48"/>
      <c r="K60" s="55"/>
      <c r="L60" s="47"/>
      <c r="M60" s="48"/>
      <c r="N60" s="48"/>
      <c r="O60" s="54"/>
      <c r="P60" s="35"/>
      <c r="Q60" s="35"/>
      <c r="R60" s="35"/>
      <c r="S60" s="35"/>
      <c r="T60" s="35"/>
      <c r="U60" s="35"/>
      <c r="V60" s="35"/>
      <c r="W60" s="35"/>
      <c r="X60" s="35"/>
      <c r="Y60" s="35"/>
    </row>
    <row r="61" ht="13.95" customHeight="1" spans="1:25" s="35" customFormat="1" x14ac:dyDescent="0.25">
      <c r="A61" s="44"/>
      <c r="B61" s="45"/>
      <c r="C61" s="53" t="s">
        <v>19</v>
      </c>
      <c r="D61" s="47"/>
      <c r="E61" s="48"/>
      <c r="F61" s="48"/>
      <c r="G61" s="54"/>
      <c r="H61" s="51"/>
      <c r="I61" s="48"/>
      <c r="J61" s="48"/>
      <c r="K61" s="55"/>
      <c r="L61" s="47"/>
      <c r="M61" s="48"/>
      <c r="N61" s="48"/>
      <c r="O61" s="54"/>
      <c r="P61" s="35"/>
      <c r="Q61" s="35"/>
      <c r="R61" s="35"/>
      <c r="S61" s="35"/>
      <c r="T61" s="35"/>
      <c r="U61" s="35"/>
      <c r="V61" s="35"/>
      <c r="W61" s="35"/>
      <c r="X61" s="35"/>
      <c r="Y61" s="35"/>
    </row>
    <row r="62" ht="13.95" customHeight="1" spans="1:25" s="35" customFormat="1" x14ac:dyDescent="0.25">
      <c r="A62" s="44"/>
      <c r="B62" s="52"/>
      <c r="C62" s="64" t="s">
        <v>18</v>
      </c>
      <c r="D62" s="65"/>
      <c r="E62" s="66"/>
      <c r="F62" s="66"/>
      <c r="G62" s="67"/>
      <c r="H62" s="68"/>
      <c r="I62" s="66"/>
      <c r="J62" s="66"/>
      <c r="K62" s="69"/>
      <c r="L62" s="65"/>
      <c r="M62" s="66"/>
      <c r="N62" s="66"/>
      <c r="O62" s="67"/>
      <c r="P62" s="35"/>
      <c r="Q62" s="35"/>
      <c r="R62" s="35"/>
      <c r="S62" s="35"/>
      <c r="T62" s="35"/>
      <c r="U62" s="35"/>
      <c r="V62" s="35"/>
      <c r="W62" s="35"/>
      <c r="X62" s="35"/>
      <c r="Y62" s="35"/>
    </row>
    <row r="63" ht="13.95" customHeight="1" spans="1:25" s="35" customFormat="1" x14ac:dyDescent="0.25">
      <c r="A63" s="70"/>
      <c r="B63" s="56"/>
      <c r="C63" s="57" t="s">
        <v>19</v>
      </c>
      <c r="D63" s="58"/>
      <c r="E63" s="59"/>
      <c r="F63" s="59"/>
      <c r="G63" s="60"/>
      <c r="H63" s="61"/>
      <c r="I63" s="59"/>
      <c r="J63" s="59"/>
      <c r="K63" s="71"/>
      <c r="L63" s="58"/>
      <c r="M63" s="59"/>
      <c r="N63" s="59"/>
      <c r="O63" s="60"/>
      <c r="P63" s="35"/>
      <c r="Q63" s="35"/>
      <c r="R63" s="35"/>
      <c r="S63" s="35"/>
      <c r="T63" s="35"/>
      <c r="U63" s="35"/>
      <c r="V63" s="35"/>
      <c r="W63" s="35"/>
      <c r="X63" s="35"/>
      <c r="Y63" s="35"/>
    </row>
    <row r="64" ht="12.2" customHeight="1" hidden="1" spans="1:25" s="35" customFormat="1" x14ac:dyDescent="0.25">
      <c r="A64" s="44"/>
      <c r="B64" s="63"/>
      <c r="C64" s="73" t="s">
        <v>18</v>
      </c>
      <c r="D64" s="65"/>
      <c r="E64" s="66"/>
      <c r="F64" s="66"/>
      <c r="G64" s="74"/>
      <c r="H64" s="65"/>
      <c r="I64" s="66"/>
      <c r="J64" s="66"/>
      <c r="K64" s="75"/>
      <c r="L64" s="68"/>
      <c r="M64" s="66"/>
      <c r="N64" s="66"/>
      <c r="O64" s="75"/>
      <c r="P64" s="35"/>
      <c r="Q64" s="35"/>
      <c r="R64" s="35"/>
      <c r="S64" s="35"/>
      <c r="T64" s="35"/>
      <c r="U64" s="35"/>
      <c r="V64" s="35"/>
      <c r="W64" s="35"/>
      <c r="X64" s="35"/>
      <c r="Y64" s="35"/>
    </row>
    <row r="65" ht="12.2" customHeight="1" hidden="1" spans="1:25" s="35" customFormat="1" x14ac:dyDescent="0.25">
      <c r="A65" s="44"/>
      <c r="B65" s="45"/>
      <c r="C65" s="46" t="s">
        <v>19</v>
      </c>
      <c r="D65" s="47"/>
      <c r="E65" s="48"/>
      <c r="F65" s="48"/>
      <c r="G65" s="49"/>
      <c r="H65" s="47"/>
      <c r="I65" s="48"/>
      <c r="J65" s="48"/>
      <c r="K65" s="50"/>
      <c r="L65" s="51"/>
      <c r="M65" s="48"/>
      <c r="N65" s="48"/>
      <c r="O65" s="50"/>
      <c r="P65" s="35"/>
      <c r="Q65" s="35"/>
      <c r="R65" s="35"/>
      <c r="S65" s="35"/>
      <c r="T65" s="35"/>
      <c r="U65" s="35"/>
      <c r="V65" s="35"/>
      <c r="W65" s="35"/>
      <c r="X65" s="35"/>
      <c r="Y65" s="35"/>
    </row>
    <row r="66" ht="12.2" customHeight="1" hidden="1" spans="1:25" s="35" customFormat="1" x14ac:dyDescent="0.25">
      <c r="A66" s="44"/>
      <c r="B66" s="52"/>
      <c r="C66" s="46" t="s">
        <v>18</v>
      </c>
      <c r="D66" s="47"/>
      <c r="E66" s="48"/>
      <c r="F66" s="48"/>
      <c r="G66" s="49"/>
      <c r="H66" s="47"/>
      <c r="I66" s="48"/>
      <c r="J66" s="48"/>
      <c r="K66" s="50"/>
      <c r="L66" s="51"/>
      <c r="M66" s="48"/>
      <c r="N66" s="48"/>
      <c r="O66" s="50"/>
      <c r="P66" s="35"/>
      <c r="Q66" s="35"/>
      <c r="R66" s="35"/>
      <c r="S66" s="35"/>
      <c r="T66" s="35"/>
      <c r="U66" s="35"/>
      <c r="V66" s="35"/>
      <c r="W66" s="35"/>
      <c r="X66" s="35"/>
      <c r="Y66" s="35"/>
    </row>
    <row r="67" ht="12.2" customHeight="1" hidden="1" spans="1:25" s="35" customFormat="1" x14ac:dyDescent="0.25">
      <c r="A67" s="44"/>
      <c r="B67" s="45"/>
      <c r="C67" s="46" t="s">
        <v>19</v>
      </c>
      <c r="D67" s="47"/>
      <c r="E67" s="48"/>
      <c r="F67" s="48"/>
      <c r="G67" s="49"/>
      <c r="H67" s="47"/>
      <c r="I67" s="48"/>
      <c r="J67" s="48"/>
      <c r="K67" s="50"/>
      <c r="L67" s="51"/>
      <c r="M67" s="48"/>
      <c r="N67" s="48"/>
      <c r="O67" s="50"/>
      <c r="P67" s="35"/>
      <c r="Q67" s="35"/>
      <c r="R67" s="35"/>
      <c r="S67" s="35"/>
      <c r="T67" s="35"/>
      <c r="U67" s="35"/>
      <c r="V67" s="35"/>
      <c r="W67" s="35"/>
      <c r="X67" s="35"/>
      <c r="Y67" s="35"/>
    </row>
    <row r="68" ht="12.2" customHeight="1" hidden="1" spans="1:25" s="35" customFormat="1" x14ac:dyDescent="0.25">
      <c r="A68" s="44"/>
      <c r="B68" s="52"/>
      <c r="C68" s="53" t="s">
        <v>18</v>
      </c>
      <c r="D68" s="47"/>
      <c r="E68" s="48"/>
      <c r="F68" s="48"/>
      <c r="G68" s="49"/>
      <c r="H68" s="47"/>
      <c r="I68" s="48"/>
      <c r="J68" s="48"/>
      <c r="K68" s="50"/>
      <c r="L68" s="51"/>
      <c r="M68" s="48"/>
      <c r="N68" s="48"/>
      <c r="O68" s="50"/>
      <c r="P68" s="35"/>
      <c r="Q68" s="35"/>
      <c r="R68" s="35"/>
      <c r="S68" s="35"/>
      <c r="T68" s="35"/>
      <c r="U68" s="35"/>
      <c r="V68" s="35"/>
      <c r="W68" s="35"/>
      <c r="X68" s="35"/>
      <c r="Y68" s="35"/>
    </row>
    <row r="69" ht="12.2" customHeight="1" hidden="1" spans="1:25" s="35" customFormat="1" x14ac:dyDescent="0.25">
      <c r="A69" s="44"/>
      <c r="B69" s="45"/>
      <c r="C69" s="53" t="s">
        <v>19</v>
      </c>
      <c r="D69" s="47"/>
      <c r="E69" s="48"/>
      <c r="F69" s="48"/>
      <c r="G69" s="49"/>
      <c r="H69" s="47"/>
      <c r="I69" s="48"/>
      <c r="J69" s="48"/>
      <c r="K69" s="50"/>
      <c r="L69" s="51"/>
      <c r="M69" s="48"/>
      <c r="N69" s="48"/>
      <c r="O69" s="50"/>
      <c r="P69" s="35"/>
      <c r="Q69" s="35"/>
      <c r="R69" s="35"/>
      <c r="S69" s="35"/>
      <c r="T69" s="35"/>
      <c r="U69" s="35"/>
      <c r="V69" s="35"/>
      <c r="W69" s="35"/>
      <c r="X69" s="35"/>
      <c r="Y69" s="35"/>
    </row>
    <row r="70" ht="12" customHeight="1" hidden="1" spans="1:25" s="35" customFormat="1" x14ac:dyDescent="0.25">
      <c r="A70" s="44"/>
      <c r="B70" s="52"/>
      <c r="C70" s="53" t="s">
        <v>18</v>
      </c>
      <c r="D70" s="47"/>
      <c r="E70" s="48"/>
      <c r="F70" s="48"/>
      <c r="G70" s="54"/>
      <c r="H70" s="51"/>
      <c r="I70" s="48"/>
      <c r="J70" s="48"/>
      <c r="K70" s="55"/>
      <c r="L70" s="47"/>
      <c r="M70" s="48"/>
      <c r="N70" s="48"/>
      <c r="O70" s="54"/>
      <c r="P70" s="35"/>
      <c r="Q70" s="35"/>
      <c r="R70" s="35"/>
      <c r="S70" s="35"/>
      <c r="T70" s="35"/>
      <c r="U70" s="35"/>
      <c r="V70" s="35"/>
      <c r="W70" s="35"/>
      <c r="X70" s="35"/>
      <c r="Y70" s="35"/>
    </row>
    <row r="71" ht="12" customHeight="1" hidden="1" spans="1:25" s="35" customFormat="1" x14ac:dyDescent="0.25">
      <c r="A71" s="44"/>
      <c r="B71" s="45"/>
      <c r="C71" s="53" t="s">
        <v>19</v>
      </c>
      <c r="D71" s="47"/>
      <c r="E71" s="48"/>
      <c r="F71" s="48"/>
      <c r="G71" s="54"/>
      <c r="H71" s="51"/>
      <c r="I71" s="48"/>
      <c r="J71" s="48"/>
      <c r="K71" s="55"/>
      <c r="L71" s="47"/>
      <c r="M71" s="48"/>
      <c r="N71" s="48"/>
      <c r="O71" s="54"/>
      <c r="P71" s="35"/>
      <c r="Q71" s="35"/>
      <c r="R71" s="35"/>
      <c r="S71" s="35"/>
      <c r="T71" s="35"/>
      <c r="U71" s="35"/>
      <c r="V71" s="35"/>
      <c r="W71" s="35"/>
      <c r="X71" s="35"/>
      <c r="Y71" s="35"/>
    </row>
    <row r="72" ht="12.2" customHeight="1" hidden="1" spans="1:25" s="35" customFormat="1" x14ac:dyDescent="0.25">
      <c r="A72" s="44"/>
      <c r="B72" s="52"/>
      <c r="C72" s="64" t="s">
        <v>18</v>
      </c>
      <c r="D72" s="65"/>
      <c r="E72" s="66"/>
      <c r="F72" s="66"/>
      <c r="G72" s="67"/>
      <c r="H72" s="68"/>
      <c r="I72" s="66"/>
      <c r="J72" s="66"/>
      <c r="K72" s="69"/>
      <c r="L72" s="65"/>
      <c r="M72" s="66"/>
      <c r="N72" s="66"/>
      <c r="O72" s="67"/>
      <c r="P72" s="35"/>
      <c r="Q72" s="35"/>
      <c r="R72" s="35"/>
      <c r="S72" s="35"/>
      <c r="T72" s="35"/>
      <c r="U72" s="35"/>
      <c r="V72" s="35"/>
      <c r="W72" s="35"/>
      <c r="X72" s="35"/>
      <c r="Y72" s="35"/>
    </row>
    <row r="73" ht="12.2" customHeight="1" hidden="1" spans="1:25" s="35" customFormat="1" x14ac:dyDescent="0.25">
      <c r="A73" s="70"/>
      <c r="B73" s="56"/>
      <c r="C73" s="57" t="s">
        <v>19</v>
      </c>
      <c r="D73" s="58"/>
      <c r="E73" s="59"/>
      <c r="F73" s="59"/>
      <c r="G73" s="60"/>
      <c r="H73" s="61"/>
      <c r="I73" s="59"/>
      <c r="J73" s="59"/>
      <c r="K73" s="71"/>
      <c r="L73" s="58"/>
      <c r="M73" s="59"/>
      <c r="N73" s="59"/>
      <c r="O73" s="60"/>
      <c r="P73" s="35"/>
      <c r="Q73" s="35"/>
      <c r="R73" s="35"/>
      <c r="S73" s="35"/>
      <c r="T73" s="35"/>
      <c r="U73" s="35"/>
      <c r="V73" s="35"/>
      <c r="W73" s="35"/>
      <c r="X73" s="35"/>
      <c r="Y73" s="35"/>
    </row>
    <row r="74" ht="12.75" customHeight="1" hidden="1" spans="1:25" s="35" customFormat="1" x14ac:dyDescent="0.25">
      <c r="A74" s="559"/>
      <c r="B74" s="45"/>
      <c r="C74" s="64" t="s">
        <v>18</v>
      </c>
      <c r="D74" s="65"/>
      <c r="E74" s="66"/>
      <c r="F74" s="66"/>
      <c r="G74" s="67"/>
      <c r="H74" s="68"/>
      <c r="I74" s="66"/>
      <c r="J74" s="66"/>
      <c r="K74" s="69"/>
      <c r="L74" s="65"/>
      <c r="M74" s="66"/>
      <c r="N74" s="66"/>
      <c r="O74" s="67"/>
      <c r="P74" s="35"/>
      <c r="Q74" s="35"/>
      <c r="R74" s="35"/>
      <c r="S74" s="35"/>
      <c r="T74" s="35"/>
      <c r="U74" s="35"/>
      <c r="V74" s="35"/>
      <c r="W74" s="35"/>
      <c r="X74" s="35"/>
      <c r="Y74" s="35"/>
    </row>
    <row r="75" ht="12.75" customHeight="1" hidden="1" spans="1:25" s="35" customFormat="1" x14ac:dyDescent="0.25">
      <c r="A75" s="559"/>
      <c r="B75" s="77"/>
      <c r="C75" s="53" t="s">
        <v>19</v>
      </c>
      <c r="D75" s="47"/>
      <c r="E75" s="48"/>
      <c r="F75" s="48"/>
      <c r="G75" s="54"/>
      <c r="H75" s="51"/>
      <c r="I75" s="48"/>
      <c r="J75" s="48"/>
      <c r="K75" s="55"/>
      <c r="L75" s="47"/>
      <c r="M75" s="48"/>
      <c r="N75" s="48"/>
      <c r="O75" s="54"/>
      <c r="P75" s="35"/>
      <c r="Q75" s="35"/>
      <c r="R75" s="35"/>
      <c r="S75" s="35"/>
      <c r="T75" s="35"/>
      <c r="U75" s="35"/>
      <c r="V75" s="35"/>
      <c r="W75" s="35"/>
      <c r="X75" s="35"/>
      <c r="Y75" s="35"/>
    </row>
    <row r="76" ht="12.75" customHeight="1" hidden="1" spans="1:25" s="35" customFormat="1" x14ac:dyDescent="0.25">
      <c r="A76" s="559"/>
      <c r="B76" s="77"/>
      <c r="C76" s="53" t="s">
        <v>18</v>
      </c>
      <c r="D76" s="47"/>
      <c r="E76" s="48"/>
      <c r="F76" s="48"/>
      <c r="G76" s="54"/>
      <c r="H76" s="51"/>
      <c r="I76" s="48"/>
      <c r="J76" s="48"/>
      <c r="K76" s="55"/>
      <c r="L76" s="47"/>
      <c r="M76" s="48"/>
      <c r="N76" s="48"/>
      <c r="O76" s="54"/>
      <c r="P76" s="35"/>
      <c r="Q76" s="35"/>
      <c r="R76" s="35"/>
      <c r="S76" s="35"/>
      <c r="T76" s="35"/>
      <c r="U76" s="35"/>
      <c r="V76" s="35"/>
      <c r="W76" s="35"/>
      <c r="X76" s="35"/>
      <c r="Y76" s="35"/>
    </row>
    <row r="77" ht="12.75" customHeight="1" hidden="1" spans="1:25" s="35" customFormat="1" x14ac:dyDescent="0.25">
      <c r="A77" s="559"/>
      <c r="B77" s="77"/>
      <c r="C77" s="53" t="s">
        <v>19</v>
      </c>
      <c r="D77" s="47"/>
      <c r="E77" s="48"/>
      <c r="F77" s="48"/>
      <c r="G77" s="54"/>
      <c r="H77" s="51"/>
      <c r="I77" s="48"/>
      <c r="J77" s="48"/>
      <c r="K77" s="55"/>
      <c r="L77" s="47"/>
      <c r="M77" s="48"/>
      <c r="N77" s="48"/>
      <c r="O77" s="54"/>
      <c r="P77" s="35"/>
      <c r="Q77" s="35"/>
      <c r="R77" s="35"/>
      <c r="S77" s="35"/>
      <c r="T77" s="35"/>
      <c r="U77" s="35"/>
      <c r="V77" s="35"/>
      <c r="W77" s="35"/>
      <c r="X77" s="35"/>
      <c r="Y77" s="35"/>
    </row>
    <row r="78" ht="12.75" customHeight="1" hidden="1" spans="1:25" s="35" customFormat="1" x14ac:dyDescent="0.25">
      <c r="A78" s="559"/>
      <c r="B78" s="77"/>
      <c r="C78" s="53" t="s">
        <v>18</v>
      </c>
      <c r="D78" s="47"/>
      <c r="E78" s="48"/>
      <c r="F78" s="48"/>
      <c r="G78" s="54"/>
      <c r="H78" s="51"/>
      <c r="I78" s="48"/>
      <c r="J78" s="48"/>
      <c r="K78" s="55"/>
      <c r="L78" s="47"/>
      <c r="M78" s="48"/>
      <c r="N78" s="48"/>
      <c r="O78" s="54"/>
      <c r="P78" s="35"/>
      <c r="Q78" s="35"/>
      <c r="R78" s="35"/>
      <c r="S78" s="35"/>
      <c r="T78" s="35"/>
      <c r="U78" s="35"/>
      <c r="V78" s="35"/>
      <c r="W78" s="35"/>
      <c r="X78" s="35"/>
      <c r="Y78" s="35"/>
    </row>
    <row r="79" ht="12.75" customHeight="1" hidden="1" spans="1:25" s="35" customFormat="1" x14ac:dyDescent="0.25">
      <c r="A79" s="559"/>
      <c r="B79" s="77"/>
      <c r="C79" s="53" t="s">
        <v>19</v>
      </c>
      <c r="D79" s="78"/>
      <c r="E79" s="79"/>
      <c r="F79" s="79"/>
      <c r="G79" s="80"/>
      <c r="H79" s="81"/>
      <c r="I79" s="79"/>
      <c r="J79" s="79"/>
      <c r="K79" s="82"/>
      <c r="L79" s="78"/>
      <c r="M79" s="79"/>
      <c r="N79" s="79"/>
      <c r="O79" s="80"/>
      <c r="P79" s="35"/>
      <c r="Q79" s="35"/>
      <c r="R79" s="35"/>
      <c r="S79" s="35"/>
      <c r="T79" s="35"/>
      <c r="U79" s="35"/>
      <c r="V79" s="35"/>
      <c r="W79" s="35"/>
      <c r="X79" s="35"/>
      <c r="Y79" s="35"/>
    </row>
    <row r="80" ht="15" customHeight="1" spans="1:25" s="35" customFormat="1" x14ac:dyDescent="0.25">
      <c r="A80" s="83" t="s">
        <v>20</v>
      </c>
      <c r="B80" s="84"/>
      <c r="C80" s="85"/>
      <c r="D80" s="86">
        <f t="shared" ref="D80:O80" si="0">SUM(D10,D12,D14,D16,D18,D20,D22,D24,D26,D28,D30,D34,D36,D38,D40,D42,D44,D46,D48,D50,D52,D54,D56,D58,D60,D62,D64,D66,D68,D70,D72)</f>
        <v>32</v>
      </c>
      <c r="E80" s="87">
        <f t="shared" si="0"/>
        <v>0</v>
      </c>
      <c r="F80" s="87">
        <f t="shared" si="0"/>
        <v>234</v>
      </c>
      <c r="G80" s="88">
        <f t="shared" si="0"/>
        <v>0</v>
      </c>
      <c r="H80" s="89">
        <f t="shared" si="0"/>
        <v>154</v>
      </c>
      <c r="I80" s="87">
        <f t="shared" si="0"/>
        <v>0</v>
      </c>
      <c r="J80" s="87">
        <f t="shared" si="0"/>
        <v>81</v>
      </c>
      <c r="K80" s="88">
        <f t="shared" si="0"/>
        <v>0</v>
      </c>
      <c r="L80" s="89">
        <f t="shared" si="0"/>
        <v>0</v>
      </c>
      <c r="M80" s="87">
        <f t="shared" si="0"/>
        <v>0</v>
      </c>
      <c r="N80" s="87">
        <f t="shared" si="0"/>
        <v>0</v>
      </c>
      <c r="O80" s="90">
        <f t="shared" si="0"/>
        <v>0</v>
      </c>
      <c r="P80" s="35"/>
      <c r="Q80" s="35"/>
      <c r="R80" s="35"/>
      <c r="S80" s="35"/>
      <c r="T80" s="35"/>
      <c r="U80" s="35"/>
      <c r="V80" s="35"/>
      <c r="W80" s="35"/>
      <c r="X80" s="35"/>
      <c r="Y80" s="35"/>
    </row>
    <row r="81" ht="15" customHeight="1" spans="1:25" s="35" customFormat="1" x14ac:dyDescent="0.25">
      <c r="A81" s="91"/>
      <c r="B81" s="92"/>
      <c r="C81" s="93"/>
      <c r="D81" s="94">
        <f>SUM(D11,D13,D15,D17,D19,D21,D23,D25,D27,D29,D31,D35,D37,D39,D41,D43,D45,D47,D49,D51,D53,D55,D57,D59,D61,D63,D65,D67,D69,D71,D73)</f>
        <v>0</v>
      </c>
      <c r="E81" s="95">
        <f>SUM(E11,E13,E15,E17,E19,E21,E23,E25,E27,E29,E31,E35,E37,E39,E41,E43,E45,E47,E49,E51,E53,E55,E57,E59,E61,E63,E65,E67,E69,E71,E73)</f>
        <v>0</v>
      </c>
      <c r="F81" s="95">
        <f>SUM(F11,F13,F15,F17,F19,F21,F23,F25,F27,F29,F31,F33,V43,F35,F37,F39,F41,F43,F45,F47,F49,F51,F53,F55,F57,F59,F61,F63,F65,F67,F69,F71,F73)</f>
        <v>0</v>
      </c>
      <c r="G81" s="96">
        <f t="shared" ref="G81:O81" si="1">SUM(G11,G13,G15,G17,G19,G21,G23,G25,G27,G29,G31,G35,G37,G39,G41,G43,G45,G47,G49,G51,G53,G55,G57,G59,G61,G63,G65,G67,G69,G71,G73)</f>
        <v>0</v>
      </c>
      <c r="H81" s="97">
        <f t="shared" si="1"/>
        <v>8</v>
      </c>
      <c r="I81" s="95">
        <f t="shared" si="1"/>
        <v>0</v>
      </c>
      <c r="J81" s="95">
        <f t="shared" si="1"/>
        <v>50</v>
      </c>
      <c r="K81" s="96">
        <f t="shared" si="1"/>
        <v>0</v>
      </c>
      <c r="L81" s="97">
        <f t="shared" si="1"/>
        <v>0</v>
      </c>
      <c r="M81" s="95">
        <f t="shared" si="1"/>
        <v>0</v>
      </c>
      <c r="N81" s="95">
        <f t="shared" si="1"/>
        <v>0</v>
      </c>
      <c r="O81" s="98">
        <f t="shared" si="1"/>
        <v>0</v>
      </c>
      <c r="P81" s="35"/>
      <c r="Q81" s="35"/>
      <c r="R81" s="35"/>
      <c r="S81" s="35"/>
      <c r="T81" s="35"/>
      <c r="U81" s="35"/>
      <c r="V81" s="35"/>
      <c r="W81" s="35"/>
      <c r="X81" s="35"/>
      <c r="Y81" s="35"/>
    </row>
    <row r="82" ht="9.75" customHeight="1" spans="1:25" x14ac:dyDescent="0.25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4.9" customHeight="1" spans="1:25" x14ac:dyDescent="0.25">
      <c r="A83" s="99" t="s">
        <v>21</v>
      </c>
      <c r="B83" s="100"/>
      <c r="C83" s="100"/>
      <c r="D83" s="100"/>
      <c r="E83" s="100"/>
      <c r="F83" s="100"/>
      <c r="G83" s="101"/>
      <c r="H83" s="102" t="s">
        <v>22</v>
      </c>
      <c r="I83" s="103"/>
      <c r="J83" s="103"/>
      <c r="K83" s="103"/>
      <c r="L83" s="103"/>
      <c r="M83" s="103"/>
      <c r="N83" s="103"/>
      <c r="O83" s="104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5" customHeight="1" spans="1:25" x14ac:dyDescent="0.25">
      <c r="A84" s="105"/>
      <c r="B84" s="106"/>
      <c r="C84" s="106"/>
      <c r="D84" s="106"/>
      <c r="E84" s="106"/>
      <c r="F84" s="106"/>
      <c r="G84" s="107"/>
      <c r="H84" s="105"/>
      <c r="I84" s="106"/>
      <c r="J84" s="106"/>
      <c r="K84" s="106"/>
      <c r="L84" s="106"/>
      <c r="M84" s="106"/>
      <c r="N84" s="106"/>
      <c r="O84" s="107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5" customHeight="1" spans="1:25" x14ac:dyDescent="0.25">
      <c r="A85" s="108"/>
      <c r="B85" s="1"/>
      <c r="C85" s="1"/>
      <c r="D85" s="2"/>
      <c r="E85" s="1"/>
      <c r="F85" s="1"/>
      <c r="G85" s="109"/>
      <c r="H85" s="110"/>
      <c r="I85" s="1"/>
      <c r="J85" s="1"/>
      <c r="K85" s="1"/>
      <c r="L85" s="1"/>
      <c r="M85" s="1"/>
      <c r="N85" s="1"/>
      <c r="O85" s="11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5" customHeight="1" spans="1:25" x14ac:dyDescent="0.25">
      <c r="A86" s="108"/>
      <c r="B86" s="112"/>
      <c r="C86" s="112"/>
      <c r="D86" s="113"/>
      <c r="E86" s="112"/>
      <c r="F86" s="112"/>
      <c r="G86" s="109"/>
      <c r="H86" s="108"/>
      <c r="I86" s="112"/>
      <c r="J86" s="112"/>
      <c r="K86" s="112"/>
      <c r="L86" s="112"/>
      <c r="M86" s="112"/>
      <c r="N86" s="112"/>
      <c r="O86" s="109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5" customHeight="1" spans="1:25" x14ac:dyDescent="0.25">
      <c r="A87" s="114"/>
      <c r="B87" s="1"/>
      <c r="C87" s="1"/>
      <c r="D87" s="2"/>
      <c r="E87" s="1"/>
      <c r="F87" s="1"/>
      <c r="G87" s="115"/>
      <c r="H87" s="110"/>
      <c r="I87" s="1"/>
      <c r="J87" s="1"/>
      <c r="K87" s="1"/>
      <c r="L87" s="1"/>
      <c r="M87" s="1"/>
      <c r="N87" s="1"/>
      <c r="O87" s="11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5" customHeight="1" spans="1:25" x14ac:dyDescent="0.25">
      <c r="A88" s="116"/>
      <c r="B88" s="117"/>
      <c r="C88" s="117"/>
      <c r="D88" s="117"/>
      <c r="E88" s="117"/>
      <c r="F88" s="117"/>
      <c r="G88" s="118"/>
      <c r="H88" s="116"/>
      <c r="I88" s="117"/>
      <c r="J88" s="117"/>
      <c r="K88" s="117"/>
      <c r="L88" s="117"/>
      <c r="M88" s="117"/>
      <c r="N88" s="117"/>
      <c r="O88" s="118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7.1" customHeight="1" spans="1:25" x14ac:dyDescent="0.25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7.1" customHeight="1" spans="1:25" s="1" customFormat="1" x14ac:dyDescent="0.25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7.1" customHeight="1" spans="1:25" x14ac:dyDescent="0.25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7.1" customHeight="1" spans="1:25" x14ac:dyDescent="0.25">
      <c r="A92" s="119"/>
      <c r="B92" s="119"/>
      <c r="C92" s="119"/>
      <c r="D92" s="120"/>
      <c r="E92" s="1"/>
      <c r="F92" s="1"/>
      <c r="G92" s="1"/>
      <c r="H92" s="1"/>
      <c r="I92" s="1"/>
      <c r="J92" s="119"/>
      <c r="K92" s="119"/>
      <c r="L92" s="119"/>
      <c r="M92" s="119"/>
      <c r="N92" s="119"/>
      <c r="O92" s="119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9.5" customHeight="1" spans="1:25" x14ac:dyDescent="0.25">
      <c r="A93" s="121" t="s">
        <v>23</v>
      </c>
      <c r="B93" s="121"/>
      <c r="C93" s="121"/>
      <c r="D93" s="121"/>
      <c r="E93" s="1"/>
      <c r="F93" s="1"/>
      <c r="G93" s="1"/>
      <c r="H93" s="1"/>
      <c r="I93" s="1"/>
      <c r="J93" s="1"/>
      <c r="K93" s="121" t="s">
        <v>24</v>
      </c>
      <c r="L93" s="121"/>
      <c r="M93" s="121"/>
      <c r="N93" s="121"/>
      <c r="O93" s="12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x14ac:dyDescent="0.25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x14ac:dyDescent="0.25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x14ac:dyDescent="0.25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x14ac:dyDescent="0.25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x14ac:dyDescent="0.25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</sheetData>
  <mergeCells count="26">
    <mergeCell ref="A1:O1"/>
    <mergeCell ref="B2:M2"/>
    <mergeCell ref="G4:I4"/>
    <mergeCell ref="L4:O4"/>
    <mergeCell ref="G6:I6"/>
    <mergeCell ref="L6:O6"/>
    <mergeCell ref="D8:G8"/>
    <mergeCell ref="H8:K8"/>
    <mergeCell ref="L8:O8"/>
    <mergeCell ref="A8:A9"/>
    <mergeCell ref="B8:B9"/>
    <mergeCell ref="A80:C81"/>
    <mergeCell ref="A83:G83"/>
    <mergeCell ref="H83:O83"/>
    <mergeCell ref="A84:G84"/>
    <mergeCell ref="H84:O84"/>
    <mergeCell ref="A85:G85"/>
    <mergeCell ref="H85:O85"/>
    <mergeCell ref="A86:G86"/>
    <mergeCell ref="H86:O86"/>
    <mergeCell ref="A87:G87"/>
    <mergeCell ref="H87:O87"/>
    <mergeCell ref="A88:G88"/>
    <mergeCell ref="H88:O88"/>
    <mergeCell ref="A93:D93"/>
    <mergeCell ref="K93:O93"/>
  </mergeCells>
  <printOptions horizontalCentered="1"/>
  <pageMargins left="0" right="0" top="0" bottom="0" header="0" footer="0"/>
  <pageSetup paperSize="9" orientation="portrait" horizontalDpi="4294967295" verticalDpi="4294967295" scale="90" fitToWidth="1" fitToHeight="1" firstPageNumber="1" useFirstPageNumber="1" copies="1"/>
</worksheet>
</file>

<file path=xl/worksheets/sheet17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rgb="FF993300"/>
  </sheetPr>
  <dimension ref="A1:Y41"/>
  <sheetViews>
    <sheetView workbookViewId="0" zoomScale="90" zoomScaleNormal="90">
      <selection activeCell="A4" sqref="A4"/>
    </sheetView>
  </sheetViews>
  <sheetFormatPr defaultRowHeight="19.2" outlineLevelRow="0" outlineLevelCol="0" x14ac:dyDescent="0" customHeight="1"/>
  <cols>
    <col min="1" max="1" width="9" style="3" customWidth="1"/>
    <col min="2" max="2" width="7" style="3" customWidth="1"/>
    <col min="3" max="3" width="7.59765625" style="3" customWidth="1"/>
    <col min="4" max="6" width="8.59765625" style="3" customWidth="1"/>
    <col min="7" max="7" width="10.09765625" style="3" customWidth="1"/>
    <col min="8" max="9" width="7.8984375" style="3" customWidth="1"/>
    <col min="10" max="10" width="15" style="3" customWidth="1"/>
    <col min="11" max="12" width="9.59765625" style="3" customWidth="1"/>
    <col min="13" max="13" width="19.09765625" style="3" customWidth="1"/>
    <col min="14" max="256" width="9" style="3" customWidth="1"/>
    <col min="257" max="257" width="9.19921875" style="3" customWidth="1"/>
    <col min="258" max="258" width="7" style="3" customWidth="1"/>
    <col min="259" max="259" width="7.59765625" style="3" customWidth="1"/>
    <col min="260" max="262" width="9.09765625" style="3" customWidth="1"/>
    <col min="263" max="263" width="10.09765625" style="3" customWidth="1"/>
    <col min="264" max="265" width="7.8984375" style="3" customWidth="1"/>
    <col min="266" max="266" width="15" style="3" customWidth="1"/>
    <col min="267" max="268" width="9.8984375" style="3" customWidth="1"/>
    <col min="269" max="269" width="18.69921875" style="3" customWidth="1"/>
    <col min="270" max="512" width="9" style="3" customWidth="1"/>
    <col min="513" max="513" width="9.19921875" style="3" customWidth="1"/>
    <col min="514" max="514" width="7" style="3" customWidth="1"/>
    <col min="515" max="515" width="7.59765625" style="3" customWidth="1"/>
    <col min="516" max="518" width="9.09765625" style="3" customWidth="1"/>
    <col min="519" max="519" width="10.09765625" style="3" customWidth="1"/>
    <col min="520" max="521" width="7.8984375" style="3" customWidth="1"/>
    <col min="522" max="522" width="15" style="3" customWidth="1"/>
    <col min="523" max="524" width="9.8984375" style="3" customWidth="1"/>
    <col min="525" max="525" width="18.69921875" style="3" customWidth="1"/>
    <col min="526" max="768" width="9" style="3" customWidth="1"/>
    <col min="769" max="769" width="9.19921875" style="3" customWidth="1"/>
    <col min="770" max="770" width="7" style="3" customWidth="1"/>
    <col min="771" max="771" width="7.59765625" style="3" customWidth="1"/>
    <col min="772" max="774" width="9.09765625" style="3" customWidth="1"/>
    <col min="775" max="775" width="10.09765625" style="3" customWidth="1"/>
    <col min="776" max="777" width="7.8984375" style="3" customWidth="1"/>
    <col min="778" max="778" width="15" style="3" customWidth="1"/>
    <col min="779" max="780" width="9.8984375" style="3" customWidth="1"/>
    <col min="781" max="781" width="18.69921875" style="3" customWidth="1"/>
    <col min="782" max="1024" width="9" style="3" customWidth="1"/>
    <col min="1025" max="1025" width="9.19921875" style="3" customWidth="1"/>
    <col min="1026" max="1026" width="7" style="3" customWidth="1"/>
    <col min="1027" max="1027" width="7.59765625" style="3" customWidth="1"/>
    <col min="1028" max="1030" width="9.09765625" style="3" customWidth="1"/>
    <col min="1031" max="1031" width="10.09765625" style="3" customWidth="1"/>
    <col min="1032" max="1033" width="7.8984375" style="3" customWidth="1"/>
    <col min="1034" max="1034" width="15" style="3" customWidth="1"/>
    <col min="1035" max="1036" width="9.8984375" style="3" customWidth="1"/>
    <col min="1037" max="1037" width="18.69921875" style="3" customWidth="1"/>
    <col min="1038" max="1280" width="9" style="3" customWidth="1"/>
    <col min="1281" max="1281" width="9.19921875" style="3" customWidth="1"/>
    <col min="1282" max="1282" width="7" style="3" customWidth="1"/>
    <col min="1283" max="1283" width="7.59765625" style="3" customWidth="1"/>
    <col min="1284" max="1286" width="9.09765625" style="3" customWidth="1"/>
    <col min="1287" max="1287" width="10.09765625" style="3" customWidth="1"/>
    <col min="1288" max="1289" width="7.8984375" style="3" customWidth="1"/>
    <col min="1290" max="1290" width="15" style="3" customWidth="1"/>
    <col min="1291" max="1292" width="9.8984375" style="3" customWidth="1"/>
    <col min="1293" max="1293" width="18.69921875" style="3" customWidth="1"/>
    <col min="1294" max="1536" width="9" style="3" customWidth="1"/>
    <col min="1537" max="1537" width="9.19921875" style="3" customWidth="1"/>
    <col min="1538" max="1538" width="7" style="3" customWidth="1"/>
    <col min="1539" max="1539" width="7.59765625" style="3" customWidth="1"/>
    <col min="1540" max="1542" width="9.09765625" style="3" customWidth="1"/>
    <col min="1543" max="1543" width="10.09765625" style="3" customWidth="1"/>
    <col min="1544" max="1545" width="7.8984375" style="3" customWidth="1"/>
    <col min="1546" max="1546" width="15" style="3" customWidth="1"/>
    <col min="1547" max="1548" width="9.8984375" style="3" customWidth="1"/>
    <col min="1549" max="1549" width="18.69921875" style="3" customWidth="1"/>
    <col min="1550" max="1792" width="9" style="3" customWidth="1"/>
    <col min="1793" max="1793" width="9.19921875" style="3" customWidth="1"/>
    <col min="1794" max="1794" width="7" style="3" customWidth="1"/>
    <col min="1795" max="1795" width="7.59765625" style="3" customWidth="1"/>
    <col min="1796" max="1798" width="9.09765625" style="3" customWidth="1"/>
    <col min="1799" max="1799" width="10.09765625" style="3" customWidth="1"/>
    <col min="1800" max="1801" width="7.8984375" style="3" customWidth="1"/>
    <col min="1802" max="1802" width="15" style="3" customWidth="1"/>
    <col min="1803" max="1804" width="9.8984375" style="3" customWidth="1"/>
    <col min="1805" max="1805" width="18.69921875" style="3" customWidth="1"/>
    <col min="1806" max="2048" width="9" style="3" customWidth="1"/>
    <col min="2049" max="2049" width="9.19921875" style="3" customWidth="1"/>
    <col min="2050" max="2050" width="7" style="3" customWidth="1"/>
    <col min="2051" max="2051" width="7.59765625" style="3" customWidth="1"/>
    <col min="2052" max="2054" width="9.09765625" style="3" customWidth="1"/>
    <col min="2055" max="2055" width="10.09765625" style="3" customWidth="1"/>
    <col min="2056" max="2057" width="7.8984375" style="3" customWidth="1"/>
    <col min="2058" max="2058" width="15" style="3" customWidth="1"/>
    <col min="2059" max="2060" width="9.8984375" style="3" customWidth="1"/>
    <col min="2061" max="2061" width="18.69921875" style="3" customWidth="1"/>
    <col min="2062" max="2304" width="9" style="3" customWidth="1"/>
    <col min="2305" max="2305" width="9.19921875" style="3" customWidth="1"/>
    <col min="2306" max="2306" width="7" style="3" customWidth="1"/>
    <col min="2307" max="2307" width="7.59765625" style="3" customWidth="1"/>
    <col min="2308" max="2310" width="9.09765625" style="3" customWidth="1"/>
    <col min="2311" max="2311" width="10.09765625" style="3" customWidth="1"/>
    <col min="2312" max="2313" width="7.8984375" style="3" customWidth="1"/>
    <col min="2314" max="2314" width="15" style="3" customWidth="1"/>
    <col min="2315" max="2316" width="9.8984375" style="3" customWidth="1"/>
    <col min="2317" max="2317" width="18.69921875" style="3" customWidth="1"/>
    <col min="2318" max="2560" width="9" style="3" customWidth="1"/>
    <col min="2561" max="2561" width="9.19921875" style="3" customWidth="1"/>
    <col min="2562" max="2562" width="7" style="3" customWidth="1"/>
    <col min="2563" max="2563" width="7.59765625" style="3" customWidth="1"/>
    <col min="2564" max="2566" width="9.09765625" style="3" customWidth="1"/>
    <col min="2567" max="2567" width="10.09765625" style="3" customWidth="1"/>
    <col min="2568" max="2569" width="7.8984375" style="3" customWidth="1"/>
    <col min="2570" max="2570" width="15" style="3" customWidth="1"/>
    <col min="2571" max="2572" width="9.8984375" style="3" customWidth="1"/>
    <col min="2573" max="2573" width="18.69921875" style="3" customWidth="1"/>
    <col min="2574" max="2816" width="9" style="3" customWidth="1"/>
    <col min="2817" max="2817" width="9.19921875" style="3" customWidth="1"/>
    <col min="2818" max="2818" width="7" style="3" customWidth="1"/>
    <col min="2819" max="2819" width="7.59765625" style="3" customWidth="1"/>
    <col min="2820" max="2822" width="9.09765625" style="3" customWidth="1"/>
    <col min="2823" max="2823" width="10.09765625" style="3" customWidth="1"/>
    <col min="2824" max="2825" width="7.8984375" style="3" customWidth="1"/>
    <col min="2826" max="2826" width="15" style="3" customWidth="1"/>
    <col min="2827" max="2828" width="9.8984375" style="3" customWidth="1"/>
    <col min="2829" max="2829" width="18.69921875" style="3" customWidth="1"/>
    <col min="2830" max="3072" width="9" style="3" customWidth="1"/>
    <col min="3073" max="3073" width="9.19921875" style="3" customWidth="1"/>
    <col min="3074" max="3074" width="7" style="3" customWidth="1"/>
    <col min="3075" max="3075" width="7.59765625" style="3" customWidth="1"/>
    <col min="3076" max="3078" width="9.09765625" style="3" customWidth="1"/>
    <col min="3079" max="3079" width="10.09765625" style="3" customWidth="1"/>
    <col min="3080" max="3081" width="7.8984375" style="3" customWidth="1"/>
    <col min="3082" max="3082" width="15" style="3" customWidth="1"/>
    <col min="3083" max="3084" width="9.8984375" style="3" customWidth="1"/>
    <col min="3085" max="3085" width="18.69921875" style="3" customWidth="1"/>
    <col min="3086" max="3328" width="9" style="3" customWidth="1"/>
    <col min="3329" max="3329" width="9.19921875" style="3" customWidth="1"/>
    <col min="3330" max="3330" width="7" style="3" customWidth="1"/>
    <col min="3331" max="3331" width="7.59765625" style="3" customWidth="1"/>
    <col min="3332" max="3334" width="9.09765625" style="3" customWidth="1"/>
    <col min="3335" max="3335" width="10.09765625" style="3" customWidth="1"/>
    <col min="3336" max="3337" width="7.8984375" style="3" customWidth="1"/>
    <col min="3338" max="3338" width="15" style="3" customWidth="1"/>
    <col min="3339" max="3340" width="9.8984375" style="3" customWidth="1"/>
    <col min="3341" max="3341" width="18.69921875" style="3" customWidth="1"/>
    <col min="3342" max="3584" width="9" style="3" customWidth="1"/>
    <col min="3585" max="3585" width="9.19921875" style="3" customWidth="1"/>
    <col min="3586" max="3586" width="7" style="3" customWidth="1"/>
    <col min="3587" max="3587" width="7.59765625" style="3" customWidth="1"/>
    <col min="3588" max="3590" width="9.09765625" style="3" customWidth="1"/>
    <col min="3591" max="3591" width="10.09765625" style="3" customWidth="1"/>
    <col min="3592" max="3593" width="7.8984375" style="3" customWidth="1"/>
    <col min="3594" max="3594" width="15" style="3" customWidth="1"/>
    <col min="3595" max="3596" width="9.8984375" style="3" customWidth="1"/>
    <col min="3597" max="3597" width="18.69921875" style="3" customWidth="1"/>
    <col min="3598" max="3840" width="9" style="3" customWidth="1"/>
    <col min="3841" max="3841" width="9.19921875" style="3" customWidth="1"/>
    <col min="3842" max="3842" width="7" style="3" customWidth="1"/>
    <col min="3843" max="3843" width="7.59765625" style="3" customWidth="1"/>
    <col min="3844" max="3846" width="9.09765625" style="3" customWidth="1"/>
    <col min="3847" max="3847" width="10.09765625" style="3" customWidth="1"/>
    <col min="3848" max="3849" width="7.8984375" style="3" customWidth="1"/>
    <col min="3850" max="3850" width="15" style="3" customWidth="1"/>
    <col min="3851" max="3852" width="9.8984375" style="3" customWidth="1"/>
    <col min="3853" max="3853" width="18.69921875" style="3" customWidth="1"/>
    <col min="3854" max="4096" width="9" style="3" customWidth="1"/>
    <col min="4097" max="4097" width="9.19921875" style="3" customWidth="1"/>
    <col min="4098" max="4098" width="7" style="3" customWidth="1"/>
    <col min="4099" max="4099" width="7.59765625" style="3" customWidth="1"/>
    <col min="4100" max="4102" width="9.09765625" style="3" customWidth="1"/>
    <col min="4103" max="4103" width="10.09765625" style="3" customWidth="1"/>
    <col min="4104" max="4105" width="7.8984375" style="3" customWidth="1"/>
    <col min="4106" max="4106" width="15" style="3" customWidth="1"/>
    <col min="4107" max="4108" width="9.8984375" style="3" customWidth="1"/>
    <col min="4109" max="4109" width="18.69921875" style="3" customWidth="1"/>
    <col min="4110" max="4352" width="9" style="3" customWidth="1"/>
    <col min="4353" max="4353" width="9.19921875" style="3" customWidth="1"/>
    <col min="4354" max="4354" width="7" style="3" customWidth="1"/>
    <col min="4355" max="4355" width="7.59765625" style="3" customWidth="1"/>
    <col min="4356" max="4358" width="9.09765625" style="3" customWidth="1"/>
    <col min="4359" max="4359" width="10.09765625" style="3" customWidth="1"/>
    <col min="4360" max="4361" width="7.8984375" style="3" customWidth="1"/>
    <col min="4362" max="4362" width="15" style="3" customWidth="1"/>
    <col min="4363" max="4364" width="9.8984375" style="3" customWidth="1"/>
    <col min="4365" max="4365" width="18.69921875" style="3" customWidth="1"/>
    <col min="4366" max="4608" width="9" style="3" customWidth="1"/>
    <col min="4609" max="4609" width="9.19921875" style="3" customWidth="1"/>
    <col min="4610" max="4610" width="7" style="3" customWidth="1"/>
    <col min="4611" max="4611" width="7.59765625" style="3" customWidth="1"/>
    <col min="4612" max="4614" width="9.09765625" style="3" customWidth="1"/>
    <col min="4615" max="4615" width="10.09765625" style="3" customWidth="1"/>
    <col min="4616" max="4617" width="7.8984375" style="3" customWidth="1"/>
    <col min="4618" max="4618" width="15" style="3" customWidth="1"/>
    <col min="4619" max="4620" width="9.8984375" style="3" customWidth="1"/>
    <col min="4621" max="4621" width="18.69921875" style="3" customWidth="1"/>
    <col min="4622" max="4864" width="9" style="3" customWidth="1"/>
    <col min="4865" max="4865" width="9.19921875" style="3" customWidth="1"/>
    <col min="4866" max="4866" width="7" style="3" customWidth="1"/>
    <col min="4867" max="4867" width="7.59765625" style="3" customWidth="1"/>
    <col min="4868" max="4870" width="9.09765625" style="3" customWidth="1"/>
    <col min="4871" max="4871" width="10.09765625" style="3" customWidth="1"/>
    <col min="4872" max="4873" width="7.8984375" style="3" customWidth="1"/>
    <col min="4874" max="4874" width="15" style="3" customWidth="1"/>
    <col min="4875" max="4876" width="9.8984375" style="3" customWidth="1"/>
    <col min="4877" max="4877" width="18.69921875" style="3" customWidth="1"/>
    <col min="4878" max="5120" width="9" style="3" customWidth="1"/>
    <col min="5121" max="5121" width="9.19921875" style="3" customWidth="1"/>
    <col min="5122" max="5122" width="7" style="3" customWidth="1"/>
    <col min="5123" max="5123" width="7.59765625" style="3" customWidth="1"/>
    <col min="5124" max="5126" width="9.09765625" style="3" customWidth="1"/>
    <col min="5127" max="5127" width="10.09765625" style="3" customWidth="1"/>
    <col min="5128" max="5129" width="7.8984375" style="3" customWidth="1"/>
    <col min="5130" max="5130" width="15" style="3" customWidth="1"/>
    <col min="5131" max="5132" width="9.8984375" style="3" customWidth="1"/>
    <col min="5133" max="5133" width="18.69921875" style="3" customWidth="1"/>
    <col min="5134" max="5376" width="9" style="3" customWidth="1"/>
    <col min="5377" max="5377" width="9.19921875" style="3" customWidth="1"/>
    <col min="5378" max="5378" width="7" style="3" customWidth="1"/>
    <col min="5379" max="5379" width="7.59765625" style="3" customWidth="1"/>
    <col min="5380" max="5382" width="9.09765625" style="3" customWidth="1"/>
    <col min="5383" max="5383" width="10.09765625" style="3" customWidth="1"/>
    <col min="5384" max="5385" width="7.8984375" style="3" customWidth="1"/>
    <col min="5386" max="5386" width="15" style="3" customWidth="1"/>
    <col min="5387" max="5388" width="9.8984375" style="3" customWidth="1"/>
    <col min="5389" max="5389" width="18.69921875" style="3" customWidth="1"/>
    <col min="5390" max="5632" width="9" style="3" customWidth="1"/>
    <col min="5633" max="5633" width="9.19921875" style="3" customWidth="1"/>
    <col min="5634" max="5634" width="7" style="3" customWidth="1"/>
    <col min="5635" max="5635" width="7.59765625" style="3" customWidth="1"/>
    <col min="5636" max="5638" width="9.09765625" style="3" customWidth="1"/>
    <col min="5639" max="5639" width="10.09765625" style="3" customWidth="1"/>
    <col min="5640" max="5641" width="7.8984375" style="3" customWidth="1"/>
    <col min="5642" max="5642" width="15" style="3" customWidth="1"/>
    <col min="5643" max="5644" width="9.8984375" style="3" customWidth="1"/>
    <col min="5645" max="5645" width="18.69921875" style="3" customWidth="1"/>
    <col min="5646" max="5888" width="9" style="3" customWidth="1"/>
    <col min="5889" max="5889" width="9.19921875" style="3" customWidth="1"/>
    <col min="5890" max="5890" width="7" style="3" customWidth="1"/>
    <col min="5891" max="5891" width="7.59765625" style="3" customWidth="1"/>
    <col min="5892" max="5894" width="9.09765625" style="3" customWidth="1"/>
    <col min="5895" max="5895" width="10.09765625" style="3" customWidth="1"/>
    <col min="5896" max="5897" width="7.8984375" style="3" customWidth="1"/>
    <col min="5898" max="5898" width="15" style="3" customWidth="1"/>
    <col min="5899" max="5900" width="9.8984375" style="3" customWidth="1"/>
    <col min="5901" max="5901" width="18.69921875" style="3" customWidth="1"/>
    <col min="5902" max="6144" width="9" style="3" customWidth="1"/>
    <col min="6145" max="6145" width="9.19921875" style="3" customWidth="1"/>
    <col min="6146" max="6146" width="7" style="3" customWidth="1"/>
    <col min="6147" max="6147" width="7.59765625" style="3" customWidth="1"/>
    <col min="6148" max="6150" width="9.09765625" style="3" customWidth="1"/>
    <col min="6151" max="6151" width="10.09765625" style="3" customWidth="1"/>
    <col min="6152" max="6153" width="7.8984375" style="3" customWidth="1"/>
    <col min="6154" max="6154" width="15" style="3" customWidth="1"/>
    <col min="6155" max="6156" width="9.8984375" style="3" customWidth="1"/>
    <col min="6157" max="6157" width="18.69921875" style="3" customWidth="1"/>
    <col min="6158" max="6400" width="9" style="3" customWidth="1"/>
    <col min="6401" max="6401" width="9.19921875" style="3" customWidth="1"/>
    <col min="6402" max="6402" width="7" style="3" customWidth="1"/>
    <col min="6403" max="6403" width="7.59765625" style="3" customWidth="1"/>
    <col min="6404" max="6406" width="9.09765625" style="3" customWidth="1"/>
    <col min="6407" max="6407" width="10.09765625" style="3" customWidth="1"/>
    <col min="6408" max="6409" width="7.8984375" style="3" customWidth="1"/>
    <col min="6410" max="6410" width="15" style="3" customWidth="1"/>
    <col min="6411" max="6412" width="9.8984375" style="3" customWidth="1"/>
    <col min="6413" max="6413" width="18.69921875" style="3" customWidth="1"/>
    <col min="6414" max="6656" width="9" style="3" customWidth="1"/>
    <col min="6657" max="6657" width="9.19921875" style="3" customWidth="1"/>
    <col min="6658" max="6658" width="7" style="3" customWidth="1"/>
    <col min="6659" max="6659" width="7.59765625" style="3" customWidth="1"/>
    <col min="6660" max="6662" width="9.09765625" style="3" customWidth="1"/>
    <col min="6663" max="6663" width="10.09765625" style="3" customWidth="1"/>
    <col min="6664" max="6665" width="7.8984375" style="3" customWidth="1"/>
    <col min="6666" max="6666" width="15" style="3" customWidth="1"/>
    <col min="6667" max="6668" width="9.8984375" style="3" customWidth="1"/>
    <col min="6669" max="6669" width="18.69921875" style="3" customWidth="1"/>
    <col min="6670" max="6912" width="9" style="3" customWidth="1"/>
    <col min="6913" max="6913" width="9.19921875" style="3" customWidth="1"/>
    <col min="6914" max="6914" width="7" style="3" customWidth="1"/>
    <col min="6915" max="6915" width="7.59765625" style="3" customWidth="1"/>
    <col min="6916" max="6918" width="9.09765625" style="3" customWidth="1"/>
    <col min="6919" max="6919" width="10.09765625" style="3" customWidth="1"/>
    <col min="6920" max="6921" width="7.8984375" style="3" customWidth="1"/>
    <col min="6922" max="6922" width="15" style="3" customWidth="1"/>
    <col min="6923" max="6924" width="9.8984375" style="3" customWidth="1"/>
    <col min="6925" max="6925" width="18.69921875" style="3" customWidth="1"/>
    <col min="6926" max="7168" width="9" style="3" customWidth="1"/>
    <col min="7169" max="7169" width="9.19921875" style="3" customWidth="1"/>
    <col min="7170" max="7170" width="7" style="3" customWidth="1"/>
    <col min="7171" max="7171" width="7.59765625" style="3" customWidth="1"/>
    <col min="7172" max="7174" width="9.09765625" style="3" customWidth="1"/>
    <col min="7175" max="7175" width="10.09765625" style="3" customWidth="1"/>
    <col min="7176" max="7177" width="7.8984375" style="3" customWidth="1"/>
    <col min="7178" max="7178" width="15" style="3" customWidth="1"/>
    <col min="7179" max="7180" width="9.8984375" style="3" customWidth="1"/>
    <col min="7181" max="7181" width="18.69921875" style="3" customWidth="1"/>
    <col min="7182" max="7424" width="9" style="3" customWidth="1"/>
    <col min="7425" max="7425" width="9.19921875" style="3" customWidth="1"/>
    <col min="7426" max="7426" width="7" style="3" customWidth="1"/>
    <col min="7427" max="7427" width="7.59765625" style="3" customWidth="1"/>
    <col min="7428" max="7430" width="9.09765625" style="3" customWidth="1"/>
    <col min="7431" max="7431" width="10.09765625" style="3" customWidth="1"/>
    <col min="7432" max="7433" width="7.8984375" style="3" customWidth="1"/>
    <col min="7434" max="7434" width="15" style="3" customWidth="1"/>
    <col min="7435" max="7436" width="9.8984375" style="3" customWidth="1"/>
    <col min="7437" max="7437" width="18.69921875" style="3" customWidth="1"/>
    <col min="7438" max="7680" width="9" style="3" customWidth="1"/>
    <col min="7681" max="7681" width="9.19921875" style="3" customWidth="1"/>
    <col min="7682" max="7682" width="7" style="3" customWidth="1"/>
    <col min="7683" max="7683" width="7.59765625" style="3" customWidth="1"/>
    <col min="7684" max="7686" width="9.09765625" style="3" customWidth="1"/>
    <col min="7687" max="7687" width="10.09765625" style="3" customWidth="1"/>
    <col min="7688" max="7689" width="7.8984375" style="3" customWidth="1"/>
    <col min="7690" max="7690" width="15" style="3" customWidth="1"/>
    <col min="7691" max="7692" width="9.8984375" style="3" customWidth="1"/>
    <col min="7693" max="7693" width="18.69921875" style="3" customWidth="1"/>
    <col min="7694" max="7936" width="9" style="3" customWidth="1"/>
    <col min="7937" max="7937" width="9.19921875" style="3" customWidth="1"/>
    <col min="7938" max="7938" width="7" style="3" customWidth="1"/>
    <col min="7939" max="7939" width="7.59765625" style="3" customWidth="1"/>
    <col min="7940" max="7942" width="9.09765625" style="3" customWidth="1"/>
    <col min="7943" max="7943" width="10.09765625" style="3" customWidth="1"/>
    <col min="7944" max="7945" width="7.8984375" style="3" customWidth="1"/>
    <col min="7946" max="7946" width="15" style="3" customWidth="1"/>
    <col min="7947" max="7948" width="9.8984375" style="3" customWidth="1"/>
    <col min="7949" max="7949" width="18.69921875" style="3" customWidth="1"/>
    <col min="7950" max="8192" width="9" style="3" customWidth="1"/>
    <col min="8193" max="8193" width="9.19921875" style="3" customWidth="1"/>
    <col min="8194" max="8194" width="7" style="3" customWidth="1"/>
    <col min="8195" max="8195" width="7.59765625" style="3" customWidth="1"/>
    <col min="8196" max="8198" width="9.09765625" style="3" customWidth="1"/>
    <col min="8199" max="8199" width="10.09765625" style="3" customWidth="1"/>
    <col min="8200" max="8201" width="7.8984375" style="3" customWidth="1"/>
    <col min="8202" max="8202" width="15" style="3" customWidth="1"/>
    <col min="8203" max="8204" width="9.8984375" style="3" customWidth="1"/>
    <col min="8205" max="8205" width="18.69921875" style="3" customWidth="1"/>
    <col min="8206" max="8448" width="9" style="3" customWidth="1"/>
    <col min="8449" max="8449" width="9.19921875" style="3" customWidth="1"/>
    <col min="8450" max="8450" width="7" style="3" customWidth="1"/>
    <col min="8451" max="8451" width="7.59765625" style="3" customWidth="1"/>
    <col min="8452" max="8454" width="9.09765625" style="3" customWidth="1"/>
    <col min="8455" max="8455" width="10.09765625" style="3" customWidth="1"/>
    <col min="8456" max="8457" width="7.8984375" style="3" customWidth="1"/>
    <col min="8458" max="8458" width="15" style="3" customWidth="1"/>
    <col min="8459" max="8460" width="9.8984375" style="3" customWidth="1"/>
    <col min="8461" max="8461" width="18.69921875" style="3" customWidth="1"/>
    <col min="8462" max="8704" width="9" style="3" customWidth="1"/>
    <col min="8705" max="8705" width="9.19921875" style="3" customWidth="1"/>
    <col min="8706" max="8706" width="7" style="3" customWidth="1"/>
    <col min="8707" max="8707" width="7.59765625" style="3" customWidth="1"/>
    <col min="8708" max="8710" width="9.09765625" style="3" customWidth="1"/>
    <col min="8711" max="8711" width="10.09765625" style="3" customWidth="1"/>
    <col min="8712" max="8713" width="7.8984375" style="3" customWidth="1"/>
    <col min="8714" max="8714" width="15" style="3" customWidth="1"/>
    <col min="8715" max="8716" width="9.8984375" style="3" customWidth="1"/>
    <col min="8717" max="8717" width="18.69921875" style="3" customWidth="1"/>
    <col min="8718" max="8960" width="9" style="3" customWidth="1"/>
    <col min="8961" max="8961" width="9.19921875" style="3" customWidth="1"/>
    <col min="8962" max="8962" width="7" style="3" customWidth="1"/>
    <col min="8963" max="8963" width="7.59765625" style="3" customWidth="1"/>
    <col min="8964" max="8966" width="9.09765625" style="3" customWidth="1"/>
    <col min="8967" max="8967" width="10.09765625" style="3" customWidth="1"/>
    <col min="8968" max="8969" width="7.8984375" style="3" customWidth="1"/>
    <col min="8970" max="8970" width="15" style="3" customWidth="1"/>
    <col min="8971" max="8972" width="9.8984375" style="3" customWidth="1"/>
    <col min="8973" max="8973" width="18.69921875" style="3" customWidth="1"/>
    <col min="8974" max="9216" width="9" style="3" customWidth="1"/>
    <col min="9217" max="9217" width="9.19921875" style="3" customWidth="1"/>
    <col min="9218" max="9218" width="7" style="3" customWidth="1"/>
    <col min="9219" max="9219" width="7.59765625" style="3" customWidth="1"/>
    <col min="9220" max="9222" width="9.09765625" style="3" customWidth="1"/>
    <col min="9223" max="9223" width="10.09765625" style="3" customWidth="1"/>
    <col min="9224" max="9225" width="7.8984375" style="3" customWidth="1"/>
    <col min="9226" max="9226" width="15" style="3" customWidth="1"/>
    <col min="9227" max="9228" width="9.8984375" style="3" customWidth="1"/>
    <col min="9229" max="9229" width="18.69921875" style="3" customWidth="1"/>
    <col min="9230" max="9472" width="9" style="3" customWidth="1"/>
    <col min="9473" max="9473" width="9.19921875" style="3" customWidth="1"/>
    <col min="9474" max="9474" width="7" style="3" customWidth="1"/>
    <col min="9475" max="9475" width="7.59765625" style="3" customWidth="1"/>
    <col min="9476" max="9478" width="9.09765625" style="3" customWidth="1"/>
    <col min="9479" max="9479" width="10.09765625" style="3" customWidth="1"/>
    <col min="9480" max="9481" width="7.8984375" style="3" customWidth="1"/>
    <col min="9482" max="9482" width="15" style="3" customWidth="1"/>
    <col min="9483" max="9484" width="9.8984375" style="3" customWidth="1"/>
    <col min="9485" max="9485" width="18.69921875" style="3" customWidth="1"/>
    <col min="9486" max="9728" width="9" style="3" customWidth="1"/>
    <col min="9729" max="9729" width="9.19921875" style="3" customWidth="1"/>
    <col min="9730" max="9730" width="7" style="3" customWidth="1"/>
    <col min="9731" max="9731" width="7.59765625" style="3" customWidth="1"/>
    <col min="9732" max="9734" width="9.09765625" style="3" customWidth="1"/>
    <col min="9735" max="9735" width="10.09765625" style="3" customWidth="1"/>
    <col min="9736" max="9737" width="7.8984375" style="3" customWidth="1"/>
    <col min="9738" max="9738" width="15" style="3" customWidth="1"/>
    <col min="9739" max="9740" width="9.8984375" style="3" customWidth="1"/>
    <col min="9741" max="9741" width="18.69921875" style="3" customWidth="1"/>
    <col min="9742" max="9984" width="9" style="3" customWidth="1"/>
    <col min="9985" max="9985" width="9.19921875" style="3" customWidth="1"/>
    <col min="9986" max="9986" width="7" style="3" customWidth="1"/>
    <col min="9987" max="9987" width="7.59765625" style="3" customWidth="1"/>
    <col min="9988" max="9990" width="9.09765625" style="3" customWidth="1"/>
    <col min="9991" max="9991" width="10.09765625" style="3" customWidth="1"/>
    <col min="9992" max="9993" width="7.8984375" style="3" customWidth="1"/>
    <col min="9994" max="9994" width="15" style="3" customWidth="1"/>
    <col min="9995" max="9996" width="9.8984375" style="3" customWidth="1"/>
    <col min="9997" max="9997" width="18.69921875" style="3" customWidth="1"/>
    <col min="9998" max="10240" width="9" style="3" customWidth="1"/>
    <col min="10241" max="10241" width="9.19921875" style="3" customWidth="1"/>
    <col min="10242" max="10242" width="7" style="3" customWidth="1"/>
    <col min="10243" max="10243" width="7.59765625" style="3" customWidth="1"/>
    <col min="10244" max="10246" width="9.09765625" style="3" customWidth="1"/>
    <col min="10247" max="10247" width="10.09765625" style="3" customWidth="1"/>
    <col min="10248" max="10249" width="7.8984375" style="3" customWidth="1"/>
    <col min="10250" max="10250" width="15" style="3" customWidth="1"/>
    <col min="10251" max="10252" width="9.8984375" style="3" customWidth="1"/>
    <col min="10253" max="10253" width="18.69921875" style="3" customWidth="1"/>
    <col min="10254" max="10496" width="9" style="3" customWidth="1"/>
    <col min="10497" max="10497" width="9.19921875" style="3" customWidth="1"/>
    <col min="10498" max="10498" width="7" style="3" customWidth="1"/>
    <col min="10499" max="10499" width="7.59765625" style="3" customWidth="1"/>
    <col min="10500" max="10502" width="9.09765625" style="3" customWidth="1"/>
    <col min="10503" max="10503" width="10.09765625" style="3" customWidth="1"/>
    <col min="10504" max="10505" width="7.8984375" style="3" customWidth="1"/>
    <col min="10506" max="10506" width="15" style="3" customWidth="1"/>
    <col min="10507" max="10508" width="9.8984375" style="3" customWidth="1"/>
    <col min="10509" max="10509" width="18.69921875" style="3" customWidth="1"/>
    <col min="10510" max="10752" width="9" style="3" customWidth="1"/>
    <col min="10753" max="10753" width="9.19921875" style="3" customWidth="1"/>
    <col min="10754" max="10754" width="7" style="3" customWidth="1"/>
    <col min="10755" max="10755" width="7.59765625" style="3" customWidth="1"/>
    <col min="10756" max="10758" width="9.09765625" style="3" customWidth="1"/>
    <col min="10759" max="10759" width="10.09765625" style="3" customWidth="1"/>
    <col min="10760" max="10761" width="7.8984375" style="3" customWidth="1"/>
    <col min="10762" max="10762" width="15" style="3" customWidth="1"/>
    <col min="10763" max="10764" width="9.8984375" style="3" customWidth="1"/>
    <col min="10765" max="10765" width="18.69921875" style="3" customWidth="1"/>
    <col min="10766" max="11008" width="9" style="3" customWidth="1"/>
    <col min="11009" max="11009" width="9.19921875" style="3" customWidth="1"/>
    <col min="11010" max="11010" width="7" style="3" customWidth="1"/>
    <col min="11011" max="11011" width="7.59765625" style="3" customWidth="1"/>
    <col min="11012" max="11014" width="9.09765625" style="3" customWidth="1"/>
    <col min="11015" max="11015" width="10.09765625" style="3" customWidth="1"/>
    <col min="11016" max="11017" width="7.8984375" style="3" customWidth="1"/>
    <col min="11018" max="11018" width="15" style="3" customWidth="1"/>
    <col min="11019" max="11020" width="9.8984375" style="3" customWidth="1"/>
    <col min="11021" max="11021" width="18.69921875" style="3" customWidth="1"/>
    <col min="11022" max="11264" width="9" style="3" customWidth="1"/>
    <col min="11265" max="11265" width="9.19921875" style="3" customWidth="1"/>
    <col min="11266" max="11266" width="7" style="3" customWidth="1"/>
    <col min="11267" max="11267" width="7.59765625" style="3" customWidth="1"/>
    <col min="11268" max="11270" width="9.09765625" style="3" customWidth="1"/>
    <col min="11271" max="11271" width="10.09765625" style="3" customWidth="1"/>
    <col min="11272" max="11273" width="7.8984375" style="3" customWidth="1"/>
    <col min="11274" max="11274" width="15" style="3" customWidth="1"/>
    <col min="11275" max="11276" width="9.8984375" style="3" customWidth="1"/>
    <col min="11277" max="11277" width="18.69921875" style="3" customWidth="1"/>
    <col min="11278" max="11520" width="9" style="3" customWidth="1"/>
    <col min="11521" max="11521" width="9.19921875" style="3" customWidth="1"/>
    <col min="11522" max="11522" width="7" style="3" customWidth="1"/>
    <col min="11523" max="11523" width="7.59765625" style="3" customWidth="1"/>
    <col min="11524" max="11526" width="9.09765625" style="3" customWidth="1"/>
    <col min="11527" max="11527" width="10.09765625" style="3" customWidth="1"/>
    <col min="11528" max="11529" width="7.8984375" style="3" customWidth="1"/>
    <col min="11530" max="11530" width="15" style="3" customWidth="1"/>
    <col min="11531" max="11532" width="9.8984375" style="3" customWidth="1"/>
    <col min="11533" max="11533" width="18.69921875" style="3" customWidth="1"/>
    <col min="11534" max="11776" width="9" style="3" customWidth="1"/>
    <col min="11777" max="11777" width="9.19921875" style="3" customWidth="1"/>
    <col min="11778" max="11778" width="7" style="3" customWidth="1"/>
    <col min="11779" max="11779" width="7.59765625" style="3" customWidth="1"/>
    <col min="11780" max="11782" width="9.09765625" style="3" customWidth="1"/>
    <col min="11783" max="11783" width="10.09765625" style="3" customWidth="1"/>
    <col min="11784" max="11785" width="7.8984375" style="3" customWidth="1"/>
    <col min="11786" max="11786" width="15" style="3" customWidth="1"/>
    <col min="11787" max="11788" width="9.8984375" style="3" customWidth="1"/>
    <col min="11789" max="11789" width="18.69921875" style="3" customWidth="1"/>
    <col min="11790" max="12032" width="9" style="3" customWidth="1"/>
    <col min="12033" max="12033" width="9.19921875" style="3" customWidth="1"/>
    <col min="12034" max="12034" width="7" style="3" customWidth="1"/>
    <col min="12035" max="12035" width="7.59765625" style="3" customWidth="1"/>
    <col min="12036" max="12038" width="9.09765625" style="3" customWidth="1"/>
    <col min="12039" max="12039" width="10.09765625" style="3" customWidth="1"/>
    <col min="12040" max="12041" width="7.8984375" style="3" customWidth="1"/>
    <col min="12042" max="12042" width="15" style="3" customWidth="1"/>
    <col min="12043" max="12044" width="9.8984375" style="3" customWidth="1"/>
    <col min="12045" max="12045" width="18.69921875" style="3" customWidth="1"/>
    <col min="12046" max="12288" width="9" style="3" customWidth="1"/>
    <col min="12289" max="12289" width="9.19921875" style="3" customWidth="1"/>
    <col min="12290" max="12290" width="7" style="3" customWidth="1"/>
    <col min="12291" max="12291" width="7.59765625" style="3" customWidth="1"/>
    <col min="12292" max="12294" width="9.09765625" style="3" customWidth="1"/>
    <col min="12295" max="12295" width="10.09765625" style="3" customWidth="1"/>
    <col min="12296" max="12297" width="7.8984375" style="3" customWidth="1"/>
    <col min="12298" max="12298" width="15" style="3" customWidth="1"/>
    <col min="12299" max="12300" width="9.8984375" style="3" customWidth="1"/>
    <col min="12301" max="12301" width="18.69921875" style="3" customWidth="1"/>
    <col min="12302" max="12544" width="9" style="3" customWidth="1"/>
    <col min="12545" max="12545" width="9.19921875" style="3" customWidth="1"/>
    <col min="12546" max="12546" width="7" style="3" customWidth="1"/>
    <col min="12547" max="12547" width="7.59765625" style="3" customWidth="1"/>
    <col min="12548" max="12550" width="9.09765625" style="3" customWidth="1"/>
    <col min="12551" max="12551" width="10.09765625" style="3" customWidth="1"/>
    <col min="12552" max="12553" width="7.8984375" style="3" customWidth="1"/>
    <col min="12554" max="12554" width="15" style="3" customWidth="1"/>
    <col min="12555" max="12556" width="9.8984375" style="3" customWidth="1"/>
    <col min="12557" max="12557" width="18.69921875" style="3" customWidth="1"/>
    <col min="12558" max="12800" width="9" style="3" customWidth="1"/>
    <col min="12801" max="12801" width="9.19921875" style="3" customWidth="1"/>
    <col min="12802" max="12802" width="7" style="3" customWidth="1"/>
    <col min="12803" max="12803" width="7.59765625" style="3" customWidth="1"/>
    <col min="12804" max="12806" width="9.09765625" style="3" customWidth="1"/>
    <col min="12807" max="12807" width="10.09765625" style="3" customWidth="1"/>
    <col min="12808" max="12809" width="7.8984375" style="3" customWidth="1"/>
    <col min="12810" max="12810" width="15" style="3" customWidth="1"/>
    <col min="12811" max="12812" width="9.8984375" style="3" customWidth="1"/>
    <col min="12813" max="12813" width="18.69921875" style="3" customWidth="1"/>
    <col min="12814" max="13056" width="9" style="3" customWidth="1"/>
    <col min="13057" max="13057" width="9.19921875" style="3" customWidth="1"/>
    <col min="13058" max="13058" width="7" style="3" customWidth="1"/>
    <col min="13059" max="13059" width="7.59765625" style="3" customWidth="1"/>
    <col min="13060" max="13062" width="9.09765625" style="3" customWidth="1"/>
    <col min="13063" max="13063" width="10.09765625" style="3" customWidth="1"/>
    <col min="13064" max="13065" width="7.8984375" style="3" customWidth="1"/>
    <col min="13066" max="13066" width="15" style="3" customWidth="1"/>
    <col min="13067" max="13068" width="9.8984375" style="3" customWidth="1"/>
    <col min="13069" max="13069" width="18.69921875" style="3" customWidth="1"/>
    <col min="13070" max="13312" width="9" style="3" customWidth="1"/>
    <col min="13313" max="13313" width="9.19921875" style="3" customWidth="1"/>
    <col min="13314" max="13314" width="7" style="3" customWidth="1"/>
    <col min="13315" max="13315" width="7.59765625" style="3" customWidth="1"/>
    <col min="13316" max="13318" width="9.09765625" style="3" customWidth="1"/>
    <col min="13319" max="13319" width="10.09765625" style="3" customWidth="1"/>
    <col min="13320" max="13321" width="7.8984375" style="3" customWidth="1"/>
    <col min="13322" max="13322" width="15" style="3" customWidth="1"/>
    <col min="13323" max="13324" width="9.8984375" style="3" customWidth="1"/>
    <col min="13325" max="13325" width="18.69921875" style="3" customWidth="1"/>
    <col min="13326" max="13568" width="9" style="3" customWidth="1"/>
    <col min="13569" max="13569" width="9.19921875" style="3" customWidth="1"/>
    <col min="13570" max="13570" width="7" style="3" customWidth="1"/>
    <col min="13571" max="13571" width="7.59765625" style="3" customWidth="1"/>
    <col min="13572" max="13574" width="9.09765625" style="3" customWidth="1"/>
    <col min="13575" max="13575" width="10.09765625" style="3" customWidth="1"/>
    <col min="13576" max="13577" width="7.8984375" style="3" customWidth="1"/>
    <col min="13578" max="13578" width="15" style="3" customWidth="1"/>
    <col min="13579" max="13580" width="9.8984375" style="3" customWidth="1"/>
    <col min="13581" max="13581" width="18.69921875" style="3" customWidth="1"/>
    <col min="13582" max="13824" width="9" style="3" customWidth="1"/>
    <col min="13825" max="13825" width="9.19921875" style="3" customWidth="1"/>
    <col min="13826" max="13826" width="7" style="3" customWidth="1"/>
    <col min="13827" max="13827" width="7.59765625" style="3" customWidth="1"/>
    <col min="13828" max="13830" width="9.09765625" style="3" customWidth="1"/>
    <col min="13831" max="13831" width="10.09765625" style="3" customWidth="1"/>
    <col min="13832" max="13833" width="7.8984375" style="3" customWidth="1"/>
    <col min="13834" max="13834" width="15" style="3" customWidth="1"/>
    <col min="13835" max="13836" width="9.8984375" style="3" customWidth="1"/>
    <col min="13837" max="13837" width="18.69921875" style="3" customWidth="1"/>
    <col min="13838" max="14080" width="9" style="3" customWidth="1"/>
    <col min="14081" max="14081" width="9.19921875" style="3" customWidth="1"/>
    <col min="14082" max="14082" width="7" style="3" customWidth="1"/>
    <col min="14083" max="14083" width="7.59765625" style="3" customWidth="1"/>
    <col min="14084" max="14086" width="9.09765625" style="3" customWidth="1"/>
    <col min="14087" max="14087" width="10.09765625" style="3" customWidth="1"/>
    <col min="14088" max="14089" width="7.8984375" style="3" customWidth="1"/>
    <col min="14090" max="14090" width="15" style="3" customWidth="1"/>
    <col min="14091" max="14092" width="9.8984375" style="3" customWidth="1"/>
    <col min="14093" max="14093" width="18.69921875" style="3" customWidth="1"/>
    <col min="14094" max="14336" width="9" style="3" customWidth="1"/>
    <col min="14337" max="14337" width="9.19921875" style="3" customWidth="1"/>
    <col min="14338" max="14338" width="7" style="3" customWidth="1"/>
    <col min="14339" max="14339" width="7.59765625" style="3" customWidth="1"/>
    <col min="14340" max="14342" width="9.09765625" style="3" customWidth="1"/>
    <col min="14343" max="14343" width="10.09765625" style="3" customWidth="1"/>
    <col min="14344" max="14345" width="7.8984375" style="3" customWidth="1"/>
    <col min="14346" max="14346" width="15" style="3" customWidth="1"/>
    <col min="14347" max="14348" width="9.8984375" style="3" customWidth="1"/>
    <col min="14349" max="14349" width="18.69921875" style="3" customWidth="1"/>
    <col min="14350" max="14592" width="9" style="3" customWidth="1"/>
    <col min="14593" max="14593" width="9.19921875" style="3" customWidth="1"/>
    <col min="14594" max="14594" width="7" style="3" customWidth="1"/>
    <col min="14595" max="14595" width="7.59765625" style="3" customWidth="1"/>
    <col min="14596" max="14598" width="9.09765625" style="3" customWidth="1"/>
    <col min="14599" max="14599" width="10.09765625" style="3" customWidth="1"/>
    <col min="14600" max="14601" width="7.8984375" style="3" customWidth="1"/>
    <col min="14602" max="14602" width="15" style="3" customWidth="1"/>
    <col min="14603" max="14604" width="9.8984375" style="3" customWidth="1"/>
    <col min="14605" max="14605" width="18.69921875" style="3" customWidth="1"/>
    <col min="14606" max="14848" width="9" style="3" customWidth="1"/>
    <col min="14849" max="14849" width="9.19921875" style="3" customWidth="1"/>
    <col min="14850" max="14850" width="7" style="3" customWidth="1"/>
    <col min="14851" max="14851" width="7.59765625" style="3" customWidth="1"/>
    <col min="14852" max="14854" width="9.09765625" style="3" customWidth="1"/>
    <col min="14855" max="14855" width="10.09765625" style="3" customWidth="1"/>
    <col min="14856" max="14857" width="7.8984375" style="3" customWidth="1"/>
    <col min="14858" max="14858" width="15" style="3" customWidth="1"/>
    <col min="14859" max="14860" width="9.8984375" style="3" customWidth="1"/>
    <col min="14861" max="14861" width="18.69921875" style="3" customWidth="1"/>
    <col min="14862" max="15104" width="9" style="3" customWidth="1"/>
    <col min="15105" max="15105" width="9.19921875" style="3" customWidth="1"/>
    <col min="15106" max="15106" width="7" style="3" customWidth="1"/>
    <col min="15107" max="15107" width="7.59765625" style="3" customWidth="1"/>
    <col min="15108" max="15110" width="9.09765625" style="3" customWidth="1"/>
    <col min="15111" max="15111" width="10.09765625" style="3" customWidth="1"/>
    <col min="15112" max="15113" width="7.8984375" style="3" customWidth="1"/>
    <col min="15114" max="15114" width="15" style="3" customWidth="1"/>
    <col min="15115" max="15116" width="9.8984375" style="3" customWidth="1"/>
    <col min="15117" max="15117" width="18.69921875" style="3" customWidth="1"/>
    <col min="15118" max="15360" width="9" style="3" customWidth="1"/>
    <col min="15361" max="15361" width="9.19921875" style="3" customWidth="1"/>
    <col min="15362" max="15362" width="7" style="3" customWidth="1"/>
    <col min="15363" max="15363" width="7.59765625" style="3" customWidth="1"/>
    <col min="15364" max="15366" width="9.09765625" style="3" customWidth="1"/>
    <col min="15367" max="15367" width="10.09765625" style="3" customWidth="1"/>
    <col min="15368" max="15369" width="7.8984375" style="3" customWidth="1"/>
    <col min="15370" max="15370" width="15" style="3" customWidth="1"/>
    <col min="15371" max="15372" width="9.8984375" style="3" customWidth="1"/>
    <col min="15373" max="15373" width="18.69921875" style="3" customWidth="1"/>
    <col min="15374" max="15616" width="9" style="3" customWidth="1"/>
    <col min="15617" max="15617" width="9.19921875" style="3" customWidth="1"/>
    <col min="15618" max="15618" width="7" style="3" customWidth="1"/>
    <col min="15619" max="15619" width="7.59765625" style="3" customWidth="1"/>
    <col min="15620" max="15622" width="9.09765625" style="3" customWidth="1"/>
    <col min="15623" max="15623" width="10.09765625" style="3" customWidth="1"/>
    <col min="15624" max="15625" width="7.8984375" style="3" customWidth="1"/>
    <col min="15626" max="15626" width="15" style="3" customWidth="1"/>
    <col min="15627" max="15628" width="9.8984375" style="3" customWidth="1"/>
    <col min="15629" max="15629" width="18.69921875" style="3" customWidth="1"/>
    <col min="15630" max="15872" width="9" style="3" customWidth="1"/>
    <col min="15873" max="15873" width="9.19921875" style="3" customWidth="1"/>
    <col min="15874" max="15874" width="7" style="3" customWidth="1"/>
    <col min="15875" max="15875" width="7.59765625" style="3" customWidth="1"/>
    <col min="15876" max="15878" width="9.09765625" style="3" customWidth="1"/>
    <col min="15879" max="15879" width="10.09765625" style="3" customWidth="1"/>
    <col min="15880" max="15881" width="7.8984375" style="3" customWidth="1"/>
    <col min="15882" max="15882" width="15" style="3" customWidth="1"/>
    <col min="15883" max="15884" width="9.8984375" style="3" customWidth="1"/>
    <col min="15885" max="15885" width="18.69921875" style="3" customWidth="1"/>
    <col min="15886" max="16128" width="9" style="3" customWidth="1"/>
    <col min="16129" max="16129" width="9.19921875" style="3" customWidth="1"/>
    <col min="16130" max="16130" width="7" style="3" customWidth="1"/>
    <col min="16131" max="16131" width="7.59765625" style="3" customWidth="1"/>
    <col min="16132" max="16134" width="9.09765625" style="3" customWidth="1"/>
    <col min="16135" max="16135" width="10.09765625" style="3" customWidth="1"/>
    <col min="16136" max="16137" width="7.8984375" style="3" customWidth="1"/>
    <col min="16138" max="16138" width="15" style="3" customWidth="1"/>
    <col min="16139" max="16140" width="9.8984375" style="3" customWidth="1"/>
    <col min="16141" max="16141" width="18.69921875" style="3" customWidth="1"/>
    <col min="16142" max="16384" width="9" style="3" customWidth="1"/>
  </cols>
  <sheetData>
    <row r="1" ht="27.9" customHeight="1" spans="1:25" x14ac:dyDescent="0.25">
      <c r="A1" s="173" t="s">
        <v>25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2" customHeight="1" spans="1:25" x14ac:dyDescent="0.25">
      <c r="A2" s="158" t="s">
        <v>26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9.7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s="3" customFormat="1" x14ac:dyDescent="0.25">
      <c r="A4" s="174" t="s">
        <v>38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0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3" t="s">
        <v>39</v>
      </c>
      <c r="B6" s="138" t="s">
        <v>3</v>
      </c>
      <c r="C6" s="3"/>
      <c r="D6" s="3"/>
      <c r="E6" s="3"/>
      <c r="F6" s="3"/>
      <c r="G6" s="3" t="s">
        <v>40</v>
      </c>
      <c r="H6" s="138"/>
      <c r="I6" s="3"/>
      <c r="J6" s="3"/>
      <c r="K6" s="3" t="s">
        <v>41</v>
      </c>
      <c r="L6" s="572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5.25" customHeight="1" spans="1:2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175" t="s">
        <v>42</v>
      </c>
      <c r="B8" s="573" t="s">
        <v>26</v>
      </c>
      <c r="C8" s="3"/>
      <c r="D8" s="3"/>
      <c r="E8" s="3"/>
      <c r="F8" s="3"/>
      <c r="G8" s="3" t="s">
        <v>43</v>
      </c>
      <c r="H8" s="138"/>
      <c r="I8" s="3"/>
      <c r="J8" s="3"/>
      <c r="K8" s="175" t="s">
        <v>44</v>
      </c>
      <c r="L8" s="138"/>
      <c r="M8" s="158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8.2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6.2" customHeight="1" spans="1:25" x14ac:dyDescent="0.25">
      <c r="A10" s="177" t="s">
        <v>45</v>
      </c>
      <c r="B10" s="178" t="s">
        <v>46</v>
      </c>
      <c r="C10" s="178"/>
      <c r="D10" s="177" t="s">
        <v>47</v>
      </c>
      <c r="E10" s="177"/>
      <c r="F10" s="177"/>
      <c r="G10" s="179" t="s">
        <v>48</v>
      </c>
      <c r="H10" s="177" t="s">
        <v>49</v>
      </c>
      <c r="I10" s="177"/>
      <c r="J10" s="179" t="s">
        <v>50</v>
      </c>
      <c r="K10" s="177" t="s">
        <v>51</v>
      </c>
      <c r="L10" s="177" t="s">
        <v>52</v>
      </c>
      <c r="M10" s="177" t="s">
        <v>53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6.2" customHeight="1" spans="1:25" x14ac:dyDescent="0.25">
      <c r="A11" s="180"/>
      <c r="B11" s="181"/>
      <c r="C11" s="181"/>
      <c r="D11" s="180"/>
      <c r="E11" s="180"/>
      <c r="F11" s="180"/>
      <c r="G11" s="182" t="s">
        <v>54</v>
      </c>
      <c r="H11" s="180"/>
      <c r="I11" s="180"/>
      <c r="J11" s="182"/>
      <c r="K11" s="180"/>
      <c r="L11" s="180"/>
      <c r="M11" s="180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17.1" customHeight="1" spans="1:25" x14ac:dyDescent="0.25">
      <c r="A12" s="574"/>
      <c r="B12" s="184"/>
      <c r="C12" s="185"/>
      <c r="D12" s="575"/>
      <c r="E12" s="576"/>
      <c r="F12" s="577"/>
      <c r="G12" s="189"/>
      <c r="H12" s="190"/>
      <c r="I12" s="191"/>
      <c r="J12" s="192"/>
      <c r="K12" s="189"/>
      <c r="L12" s="189"/>
      <c r="M12" s="578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17.1" customHeight="1" spans="1:25" x14ac:dyDescent="0.25">
      <c r="A13" s="579"/>
      <c r="B13" s="195"/>
      <c r="C13" s="195"/>
      <c r="D13" s="580"/>
      <c r="E13" s="581"/>
      <c r="F13" s="582"/>
      <c r="G13" s="195"/>
      <c r="H13" s="199"/>
      <c r="I13" s="200"/>
      <c r="J13" s="199"/>
      <c r="K13" s="195"/>
      <c r="L13" s="195"/>
      <c r="M13" s="58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17.1" customHeight="1" spans="1:25" x14ac:dyDescent="0.25">
      <c r="A14" s="579"/>
      <c r="B14" s="195"/>
      <c r="C14" s="195"/>
      <c r="D14" s="580"/>
      <c r="E14" s="581"/>
      <c r="F14" s="582"/>
      <c r="G14" s="195"/>
      <c r="H14" s="199"/>
      <c r="I14" s="200"/>
      <c r="J14" s="199"/>
      <c r="K14" s="195"/>
      <c r="L14" s="195"/>
      <c r="M14" s="584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7.1" customHeight="1" spans="1:25" x14ac:dyDescent="0.25">
      <c r="A15" s="579"/>
      <c r="B15" s="195"/>
      <c r="C15" s="195"/>
      <c r="D15" s="580"/>
      <c r="E15" s="581"/>
      <c r="F15" s="582"/>
      <c r="G15" s="195"/>
      <c r="H15" s="199"/>
      <c r="I15" s="200"/>
      <c r="J15" s="199"/>
      <c r="K15" s="195"/>
      <c r="L15" s="195"/>
      <c r="M15" s="58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7.1" customHeight="1" spans="1:25" x14ac:dyDescent="0.25">
      <c r="A16" s="579"/>
      <c r="B16" s="195"/>
      <c r="C16" s="195"/>
      <c r="D16" s="580"/>
      <c r="E16" s="581"/>
      <c r="F16" s="582"/>
      <c r="G16" s="195"/>
      <c r="H16" s="199"/>
      <c r="I16" s="200"/>
      <c r="J16" s="199"/>
      <c r="K16" s="195"/>
      <c r="L16" s="195"/>
      <c r="M16" s="584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7.1" customHeight="1" spans="1:25" x14ac:dyDescent="0.25">
      <c r="A17" s="585"/>
      <c r="B17" s="204"/>
      <c r="C17" s="146"/>
      <c r="D17" s="580"/>
      <c r="E17" s="581"/>
      <c r="F17" s="582"/>
      <c r="G17" s="195"/>
      <c r="H17" s="205"/>
      <c r="I17" s="206"/>
      <c r="J17" s="199"/>
      <c r="K17" s="195"/>
      <c r="L17" s="195"/>
      <c r="M17" s="586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7.1" customHeight="1" hidden="1" spans="1:25" x14ac:dyDescent="0.25">
      <c r="A18" s="585"/>
      <c r="B18" s="204"/>
      <c r="C18" s="146"/>
      <c r="D18" s="580"/>
      <c r="E18" s="581"/>
      <c r="F18" s="582"/>
      <c r="G18" s="195"/>
      <c r="H18" s="205"/>
      <c r="I18" s="206"/>
      <c r="J18" s="199"/>
      <c r="K18" s="195"/>
      <c r="L18" s="195"/>
      <c r="M18" s="586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7.1" customHeight="1" spans="1:25" x14ac:dyDescent="0.25">
      <c r="A19" s="208"/>
      <c r="B19" s="17"/>
      <c r="C19" s="17"/>
      <c r="D19" s="209" t="s">
        <v>55</v>
      </c>
      <c r="E19" s="210"/>
      <c r="F19" s="211"/>
      <c r="G19" s="212" t="s">
        <v>56</v>
      </c>
      <c r="H19" s="213">
        <f>SUM(H12:I18)</f>
        <v>266</v>
      </c>
      <c r="I19" s="213"/>
      <c r="J19" s="213">
        <f>SUM(J12:J18)</f>
        <v>266</v>
      </c>
      <c r="K19" s="212" t="s">
        <v>57</v>
      </c>
      <c r="L19" s="212" t="s">
        <v>57</v>
      </c>
      <c r="M19" s="214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7.1" customHeight="1" spans="1:25" x14ac:dyDescent="0.25">
      <c r="A20" s="194"/>
      <c r="B20" s="195"/>
      <c r="C20" s="195"/>
      <c r="D20" s="195"/>
      <c r="E20" s="195"/>
      <c r="F20" s="195"/>
      <c r="G20" s="195"/>
      <c r="H20" s="199"/>
      <c r="I20" s="199"/>
      <c r="J20" s="199"/>
      <c r="K20" s="195"/>
      <c r="L20" s="195"/>
      <c r="M20" s="215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7.1" customHeight="1" spans="1:25" x14ac:dyDescent="0.25">
      <c r="A21" s="194"/>
      <c r="B21" s="204"/>
      <c r="C21" s="146"/>
      <c r="D21" s="204"/>
      <c r="E21" s="216"/>
      <c r="F21" s="146"/>
      <c r="G21" s="195"/>
      <c r="H21" s="205"/>
      <c r="I21" s="217"/>
      <c r="J21" s="199"/>
      <c r="K21" s="195"/>
      <c r="L21" s="195"/>
      <c r="M21" s="194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7.1" customHeight="1" spans="1:25" x14ac:dyDescent="0.25">
      <c r="A22" s="194"/>
      <c r="B22" s="195"/>
      <c r="C22" s="195"/>
      <c r="D22" s="195"/>
      <c r="E22" s="195"/>
      <c r="F22" s="195"/>
      <c r="G22" s="195"/>
      <c r="H22" s="199"/>
      <c r="I22" s="199"/>
      <c r="J22" s="199"/>
      <c r="K22" s="195"/>
      <c r="L22" s="195"/>
      <c r="M22" s="218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7.1" customHeight="1" spans="1:25" x14ac:dyDescent="0.25">
      <c r="A23" s="194"/>
      <c r="B23" s="204"/>
      <c r="C23" s="146"/>
      <c r="D23" s="204"/>
      <c r="E23" s="216"/>
      <c r="F23" s="146"/>
      <c r="G23" s="195"/>
      <c r="H23" s="205"/>
      <c r="I23" s="217"/>
      <c r="J23" s="199"/>
      <c r="K23" s="195"/>
      <c r="L23" s="195"/>
      <c r="M23" s="194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7.1" customHeight="1" spans="1:25" x14ac:dyDescent="0.25">
      <c r="A24" s="194"/>
      <c r="B24" s="195"/>
      <c r="C24" s="195"/>
      <c r="D24" s="195"/>
      <c r="E24" s="195"/>
      <c r="F24" s="195"/>
      <c r="G24" s="195"/>
      <c r="H24" s="199"/>
      <c r="I24" s="199"/>
      <c r="J24" s="199"/>
      <c r="K24" s="195"/>
      <c r="L24" s="195"/>
      <c r="M24" s="218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7.1" customHeight="1" spans="1:25" x14ac:dyDescent="0.25">
      <c r="A25" s="219"/>
      <c r="B25" s="220"/>
      <c r="C25" s="220"/>
      <c r="D25" s="221"/>
      <c r="E25" s="221"/>
      <c r="F25" s="221"/>
      <c r="G25" s="220"/>
      <c r="H25" s="222"/>
      <c r="I25" s="222"/>
      <c r="J25" s="222"/>
      <c r="K25" s="220"/>
      <c r="L25" s="220"/>
      <c r="M25" s="219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" customHeight="1" spans="1:25" x14ac:dyDescent="0.25">
      <c r="A26" s="223" t="s">
        <v>58</v>
      </c>
      <c r="B26" s="224"/>
      <c r="C26" s="224"/>
      <c r="D26" s="224"/>
      <c r="E26" s="224"/>
      <c r="F26" s="224"/>
      <c r="G26" s="224"/>
      <c r="H26" s="224"/>
      <c r="I26" s="224"/>
      <c r="J26" s="224"/>
      <c r="K26" s="224"/>
      <c r="L26" s="224"/>
      <c r="M26" s="225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" customHeight="1" spans="1:25" x14ac:dyDescent="0.25">
      <c r="A27" s="226"/>
      <c r="B27" s="227"/>
      <c r="C27" s="3"/>
      <c r="D27" s="3"/>
      <c r="E27" s="3"/>
      <c r="F27" s="3"/>
      <c r="G27" s="3"/>
      <c r="H27" s="3"/>
      <c r="I27" s="3"/>
      <c r="J27" s="3"/>
      <c r="K27" s="3"/>
      <c r="L27" s="3"/>
      <c r="M27" s="228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" customHeight="1" spans="1:25" x14ac:dyDescent="0.25">
      <c r="A28" s="229"/>
      <c r="B28" s="227"/>
      <c r="C28" s="3"/>
      <c r="D28" s="3"/>
      <c r="E28" s="3"/>
      <c r="F28" s="3"/>
      <c r="G28" s="3"/>
      <c r="H28" s="3"/>
      <c r="I28" s="3"/>
      <c r="J28" s="3"/>
      <c r="K28" s="3"/>
      <c r="L28" s="3"/>
      <c r="M28" s="228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" customHeight="1" spans="1:25" x14ac:dyDescent="0.25">
      <c r="A29" s="229"/>
      <c r="B29" s="227"/>
      <c r="C29" s="3"/>
      <c r="D29" s="3"/>
      <c r="E29" s="3"/>
      <c r="F29" s="3"/>
      <c r="G29" s="3"/>
      <c r="H29" s="3"/>
      <c r="I29" s="3"/>
      <c r="J29" s="3"/>
      <c r="K29" s="3"/>
      <c r="L29" s="3"/>
      <c r="M29" s="228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" customHeight="1" spans="1:25" x14ac:dyDescent="0.25">
      <c r="A30" s="229"/>
      <c r="B30" s="227"/>
      <c r="C30" s="3"/>
      <c r="D30" s="3"/>
      <c r="E30" s="3"/>
      <c r="F30" s="3"/>
      <c r="G30" s="3"/>
      <c r="H30" s="3"/>
      <c r="I30" s="3"/>
      <c r="J30" s="3"/>
      <c r="K30" s="3"/>
      <c r="L30" s="3"/>
      <c r="M30" s="228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" customHeight="1" spans="1:25" x14ac:dyDescent="0.25">
      <c r="A31" s="229"/>
      <c r="B31" s="227"/>
      <c r="C31" s="3"/>
      <c r="D31" s="3"/>
      <c r="E31" s="3"/>
      <c r="F31" s="3"/>
      <c r="G31" s="3"/>
      <c r="H31" s="3"/>
      <c r="I31" s="3"/>
      <c r="J31" s="3"/>
      <c r="K31" s="3"/>
      <c r="L31" s="3"/>
      <c r="M31" s="228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" customHeight="1" spans="1:25" x14ac:dyDescent="0.25">
      <c r="A32" s="230"/>
      <c r="B32" s="231"/>
      <c r="C32" s="170"/>
      <c r="D32" s="170"/>
      <c r="E32" s="170"/>
      <c r="F32" s="170"/>
      <c r="G32" s="170"/>
      <c r="H32" s="170"/>
      <c r="I32" s="170"/>
      <c r="J32" s="170"/>
      <c r="K32" s="170"/>
      <c r="L32" s="170"/>
      <c r="M32" s="232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" customHeight="1" spans="1:2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" customHeight="1" spans="1:2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" customHeight="1" spans="1:25" x14ac:dyDescent="0.25">
      <c r="A35" s="170"/>
      <c r="B35" s="170"/>
      <c r="C35" s="170"/>
      <c r="D35" s="3"/>
      <c r="E35" s="3"/>
      <c r="F35" s="3"/>
      <c r="G35" s="170"/>
      <c r="H35" s="170"/>
      <c r="I35" s="170"/>
      <c r="J35" s="3"/>
      <c r="K35" s="3"/>
      <c r="L35" s="170"/>
      <c r="M35" s="170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5" customHeight="1" spans="1:25" x14ac:dyDescent="0.25">
      <c r="A36" s="171" t="s">
        <v>23</v>
      </c>
      <c r="B36" s="171"/>
      <c r="C36" s="171"/>
      <c r="D36" s="3"/>
      <c r="E36" s="3"/>
      <c r="F36" s="3"/>
      <c r="G36" s="171" t="s">
        <v>59</v>
      </c>
      <c r="H36" s="171"/>
      <c r="I36" s="171"/>
      <c r="J36" s="3"/>
      <c r="K36" s="3"/>
      <c r="L36" s="171" t="s">
        <v>24</v>
      </c>
      <c r="M36" s="171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mergeCells count="46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19:C19"/>
    <mergeCell ref="D19:F19"/>
    <mergeCell ref="H19:I19"/>
    <mergeCell ref="B20:C20"/>
    <mergeCell ref="D20:F20"/>
    <mergeCell ref="H20:I20"/>
    <mergeCell ref="B21:C21"/>
    <mergeCell ref="D21:F21"/>
    <mergeCell ref="H21:I21"/>
    <mergeCell ref="B22:C22"/>
    <mergeCell ref="D22:F22"/>
    <mergeCell ref="H22:I22"/>
    <mergeCell ref="B23:C23"/>
    <mergeCell ref="D23:F23"/>
    <mergeCell ref="H23:I23"/>
    <mergeCell ref="B24:C24"/>
    <mergeCell ref="D24:F24"/>
    <mergeCell ref="H24:I24"/>
    <mergeCell ref="B25:C25"/>
    <mergeCell ref="D25:F25"/>
    <mergeCell ref="H25:I25"/>
    <mergeCell ref="A26:M26"/>
    <mergeCell ref="B27:M27"/>
    <mergeCell ref="B28:M28"/>
    <mergeCell ref="B29:M29"/>
    <mergeCell ref="B30:M30"/>
    <mergeCell ref="B31:M31"/>
    <mergeCell ref="B32:M32"/>
    <mergeCell ref="A36:C36"/>
    <mergeCell ref="G36:I36"/>
    <mergeCell ref="L36:M36"/>
  </mergeCells>
  <pageMargins left="0.393694" right="0" top="0" bottom="0" header="0" footer="0"/>
  <pageSetup paperSize="9" orientation="landscape" horizontalDpi="4294967295" verticalDpi="4294967295" scale="100" fitToWidth="1" fitToHeight="1" firstPageNumber="1" useFirstPageNumber="1" copies="1"/>
</worksheet>
</file>

<file path=xl/worksheets/sheet18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rgb="FF333300"/>
  </sheetPr>
  <dimension ref="A1:Y43"/>
  <sheetViews>
    <sheetView workbookViewId="0" zoomScale="90" zoomScaleNormal="90">
      <selection activeCell="A4" sqref="A4"/>
    </sheetView>
  </sheetViews>
  <sheetFormatPr defaultRowHeight="19.2" outlineLevelRow="0" outlineLevelCol="0" x14ac:dyDescent="0" customHeight="1"/>
  <cols>
    <col min="1" max="1" width="9.09765625" style="3" customWidth="1"/>
    <col min="2" max="3" width="6.59765625" style="3" customWidth="1"/>
    <col min="4" max="6" width="9.09765625" style="3" customWidth="1"/>
    <col min="7" max="7" width="10.09765625" style="3" customWidth="1"/>
    <col min="8" max="9" width="7.59765625" style="3" customWidth="1"/>
    <col min="10" max="10" width="14.59765625" style="3" customWidth="1"/>
    <col min="11" max="12" width="9.59765625" style="3" customWidth="1"/>
    <col min="13" max="13" width="18.59765625" style="3" customWidth="1"/>
    <col min="14" max="256" width="9" style="3" customWidth="1"/>
    <col min="257" max="257" width="9.19921875" style="3" customWidth="1"/>
    <col min="258" max="258" width="7" style="3" customWidth="1"/>
    <col min="259" max="259" width="7.59765625" style="3" customWidth="1"/>
    <col min="260" max="262" width="9.09765625" style="3" customWidth="1"/>
    <col min="263" max="263" width="10.09765625" style="3" customWidth="1"/>
    <col min="264" max="265" width="7.8984375" style="3" customWidth="1"/>
    <col min="266" max="266" width="15" style="3" customWidth="1"/>
    <col min="267" max="268" width="9.8984375" style="3" customWidth="1"/>
    <col min="269" max="269" width="18.69921875" style="3" customWidth="1"/>
    <col min="270" max="512" width="9" style="3" customWidth="1"/>
    <col min="513" max="513" width="9.19921875" style="3" customWidth="1"/>
    <col min="514" max="514" width="7" style="3" customWidth="1"/>
    <col min="515" max="515" width="7.59765625" style="3" customWidth="1"/>
    <col min="516" max="518" width="9.09765625" style="3" customWidth="1"/>
    <col min="519" max="519" width="10.09765625" style="3" customWidth="1"/>
    <col min="520" max="521" width="7.8984375" style="3" customWidth="1"/>
    <col min="522" max="522" width="15" style="3" customWidth="1"/>
    <col min="523" max="524" width="9.8984375" style="3" customWidth="1"/>
    <col min="525" max="525" width="18.69921875" style="3" customWidth="1"/>
    <col min="526" max="768" width="9" style="3" customWidth="1"/>
    <col min="769" max="769" width="9.19921875" style="3" customWidth="1"/>
    <col min="770" max="770" width="7" style="3" customWidth="1"/>
    <col min="771" max="771" width="7.59765625" style="3" customWidth="1"/>
    <col min="772" max="774" width="9.09765625" style="3" customWidth="1"/>
    <col min="775" max="775" width="10.09765625" style="3" customWidth="1"/>
    <col min="776" max="777" width="7.8984375" style="3" customWidth="1"/>
    <col min="778" max="778" width="15" style="3" customWidth="1"/>
    <col min="779" max="780" width="9.8984375" style="3" customWidth="1"/>
    <col min="781" max="781" width="18.69921875" style="3" customWidth="1"/>
    <col min="782" max="1024" width="9" style="3" customWidth="1"/>
    <col min="1025" max="1025" width="9.19921875" style="3" customWidth="1"/>
    <col min="1026" max="1026" width="7" style="3" customWidth="1"/>
    <col min="1027" max="1027" width="7.59765625" style="3" customWidth="1"/>
    <col min="1028" max="1030" width="9.09765625" style="3" customWidth="1"/>
    <col min="1031" max="1031" width="10.09765625" style="3" customWidth="1"/>
    <col min="1032" max="1033" width="7.8984375" style="3" customWidth="1"/>
    <col min="1034" max="1034" width="15" style="3" customWidth="1"/>
    <col min="1035" max="1036" width="9.8984375" style="3" customWidth="1"/>
    <col min="1037" max="1037" width="18.69921875" style="3" customWidth="1"/>
    <col min="1038" max="1280" width="9" style="3" customWidth="1"/>
    <col min="1281" max="1281" width="9.19921875" style="3" customWidth="1"/>
    <col min="1282" max="1282" width="7" style="3" customWidth="1"/>
    <col min="1283" max="1283" width="7.59765625" style="3" customWidth="1"/>
    <col min="1284" max="1286" width="9.09765625" style="3" customWidth="1"/>
    <col min="1287" max="1287" width="10.09765625" style="3" customWidth="1"/>
    <col min="1288" max="1289" width="7.8984375" style="3" customWidth="1"/>
    <col min="1290" max="1290" width="15" style="3" customWidth="1"/>
    <col min="1291" max="1292" width="9.8984375" style="3" customWidth="1"/>
    <col min="1293" max="1293" width="18.69921875" style="3" customWidth="1"/>
    <col min="1294" max="1536" width="9" style="3" customWidth="1"/>
    <col min="1537" max="1537" width="9.19921875" style="3" customWidth="1"/>
    <col min="1538" max="1538" width="7" style="3" customWidth="1"/>
    <col min="1539" max="1539" width="7.59765625" style="3" customWidth="1"/>
    <col min="1540" max="1542" width="9.09765625" style="3" customWidth="1"/>
    <col min="1543" max="1543" width="10.09765625" style="3" customWidth="1"/>
    <col min="1544" max="1545" width="7.8984375" style="3" customWidth="1"/>
    <col min="1546" max="1546" width="15" style="3" customWidth="1"/>
    <col min="1547" max="1548" width="9.8984375" style="3" customWidth="1"/>
    <col min="1549" max="1549" width="18.69921875" style="3" customWidth="1"/>
    <col min="1550" max="1792" width="9" style="3" customWidth="1"/>
    <col min="1793" max="1793" width="9.19921875" style="3" customWidth="1"/>
    <col min="1794" max="1794" width="7" style="3" customWidth="1"/>
    <col min="1795" max="1795" width="7.59765625" style="3" customWidth="1"/>
    <col min="1796" max="1798" width="9.09765625" style="3" customWidth="1"/>
    <col min="1799" max="1799" width="10.09765625" style="3" customWidth="1"/>
    <col min="1800" max="1801" width="7.8984375" style="3" customWidth="1"/>
    <col min="1802" max="1802" width="15" style="3" customWidth="1"/>
    <col min="1803" max="1804" width="9.8984375" style="3" customWidth="1"/>
    <col min="1805" max="1805" width="18.69921875" style="3" customWidth="1"/>
    <col min="1806" max="2048" width="9" style="3" customWidth="1"/>
    <col min="2049" max="2049" width="9.19921875" style="3" customWidth="1"/>
    <col min="2050" max="2050" width="7" style="3" customWidth="1"/>
    <col min="2051" max="2051" width="7.59765625" style="3" customWidth="1"/>
    <col min="2052" max="2054" width="9.09765625" style="3" customWidth="1"/>
    <col min="2055" max="2055" width="10.09765625" style="3" customWidth="1"/>
    <col min="2056" max="2057" width="7.8984375" style="3" customWidth="1"/>
    <col min="2058" max="2058" width="15" style="3" customWidth="1"/>
    <col min="2059" max="2060" width="9.8984375" style="3" customWidth="1"/>
    <col min="2061" max="2061" width="18.69921875" style="3" customWidth="1"/>
    <col min="2062" max="2304" width="9" style="3" customWidth="1"/>
    <col min="2305" max="2305" width="9.19921875" style="3" customWidth="1"/>
    <col min="2306" max="2306" width="7" style="3" customWidth="1"/>
    <col min="2307" max="2307" width="7.59765625" style="3" customWidth="1"/>
    <col min="2308" max="2310" width="9.09765625" style="3" customWidth="1"/>
    <col min="2311" max="2311" width="10.09765625" style="3" customWidth="1"/>
    <col min="2312" max="2313" width="7.8984375" style="3" customWidth="1"/>
    <col min="2314" max="2314" width="15" style="3" customWidth="1"/>
    <col min="2315" max="2316" width="9.8984375" style="3" customWidth="1"/>
    <col min="2317" max="2317" width="18.69921875" style="3" customWidth="1"/>
    <col min="2318" max="2560" width="9" style="3" customWidth="1"/>
    <col min="2561" max="2561" width="9.19921875" style="3" customWidth="1"/>
    <col min="2562" max="2562" width="7" style="3" customWidth="1"/>
    <col min="2563" max="2563" width="7.59765625" style="3" customWidth="1"/>
    <col min="2564" max="2566" width="9.09765625" style="3" customWidth="1"/>
    <col min="2567" max="2567" width="10.09765625" style="3" customWidth="1"/>
    <col min="2568" max="2569" width="7.8984375" style="3" customWidth="1"/>
    <col min="2570" max="2570" width="15" style="3" customWidth="1"/>
    <col min="2571" max="2572" width="9.8984375" style="3" customWidth="1"/>
    <col min="2573" max="2573" width="18.69921875" style="3" customWidth="1"/>
    <col min="2574" max="2816" width="9" style="3" customWidth="1"/>
    <col min="2817" max="2817" width="9.19921875" style="3" customWidth="1"/>
    <col min="2818" max="2818" width="7" style="3" customWidth="1"/>
    <col min="2819" max="2819" width="7.59765625" style="3" customWidth="1"/>
    <col min="2820" max="2822" width="9.09765625" style="3" customWidth="1"/>
    <col min="2823" max="2823" width="10.09765625" style="3" customWidth="1"/>
    <col min="2824" max="2825" width="7.8984375" style="3" customWidth="1"/>
    <col min="2826" max="2826" width="15" style="3" customWidth="1"/>
    <col min="2827" max="2828" width="9.8984375" style="3" customWidth="1"/>
    <col min="2829" max="2829" width="18.69921875" style="3" customWidth="1"/>
    <col min="2830" max="3072" width="9" style="3" customWidth="1"/>
    <col min="3073" max="3073" width="9.19921875" style="3" customWidth="1"/>
    <col min="3074" max="3074" width="7" style="3" customWidth="1"/>
    <col min="3075" max="3075" width="7.59765625" style="3" customWidth="1"/>
    <col min="3076" max="3078" width="9.09765625" style="3" customWidth="1"/>
    <col min="3079" max="3079" width="10.09765625" style="3" customWidth="1"/>
    <col min="3080" max="3081" width="7.8984375" style="3" customWidth="1"/>
    <col min="3082" max="3082" width="15" style="3" customWidth="1"/>
    <col min="3083" max="3084" width="9.8984375" style="3" customWidth="1"/>
    <col min="3085" max="3085" width="18.69921875" style="3" customWidth="1"/>
    <col min="3086" max="3328" width="9" style="3" customWidth="1"/>
    <col min="3329" max="3329" width="9.19921875" style="3" customWidth="1"/>
    <col min="3330" max="3330" width="7" style="3" customWidth="1"/>
    <col min="3331" max="3331" width="7.59765625" style="3" customWidth="1"/>
    <col min="3332" max="3334" width="9.09765625" style="3" customWidth="1"/>
    <col min="3335" max="3335" width="10.09765625" style="3" customWidth="1"/>
    <col min="3336" max="3337" width="7.8984375" style="3" customWidth="1"/>
    <col min="3338" max="3338" width="15" style="3" customWidth="1"/>
    <col min="3339" max="3340" width="9.8984375" style="3" customWidth="1"/>
    <col min="3341" max="3341" width="18.69921875" style="3" customWidth="1"/>
    <col min="3342" max="3584" width="9" style="3" customWidth="1"/>
    <col min="3585" max="3585" width="9.19921875" style="3" customWidth="1"/>
    <col min="3586" max="3586" width="7" style="3" customWidth="1"/>
    <col min="3587" max="3587" width="7.59765625" style="3" customWidth="1"/>
    <col min="3588" max="3590" width="9.09765625" style="3" customWidth="1"/>
    <col min="3591" max="3591" width="10.09765625" style="3" customWidth="1"/>
    <col min="3592" max="3593" width="7.8984375" style="3" customWidth="1"/>
    <col min="3594" max="3594" width="15" style="3" customWidth="1"/>
    <col min="3595" max="3596" width="9.8984375" style="3" customWidth="1"/>
    <col min="3597" max="3597" width="18.69921875" style="3" customWidth="1"/>
    <col min="3598" max="3840" width="9" style="3" customWidth="1"/>
    <col min="3841" max="3841" width="9.19921875" style="3" customWidth="1"/>
    <col min="3842" max="3842" width="7" style="3" customWidth="1"/>
    <col min="3843" max="3843" width="7.59765625" style="3" customWidth="1"/>
    <col min="3844" max="3846" width="9.09765625" style="3" customWidth="1"/>
    <col min="3847" max="3847" width="10.09765625" style="3" customWidth="1"/>
    <col min="3848" max="3849" width="7.8984375" style="3" customWidth="1"/>
    <col min="3850" max="3850" width="15" style="3" customWidth="1"/>
    <col min="3851" max="3852" width="9.8984375" style="3" customWidth="1"/>
    <col min="3853" max="3853" width="18.69921875" style="3" customWidth="1"/>
    <col min="3854" max="4096" width="9" style="3" customWidth="1"/>
    <col min="4097" max="4097" width="9.19921875" style="3" customWidth="1"/>
    <col min="4098" max="4098" width="7" style="3" customWidth="1"/>
    <col min="4099" max="4099" width="7.59765625" style="3" customWidth="1"/>
    <col min="4100" max="4102" width="9.09765625" style="3" customWidth="1"/>
    <col min="4103" max="4103" width="10.09765625" style="3" customWidth="1"/>
    <col min="4104" max="4105" width="7.8984375" style="3" customWidth="1"/>
    <col min="4106" max="4106" width="15" style="3" customWidth="1"/>
    <col min="4107" max="4108" width="9.8984375" style="3" customWidth="1"/>
    <col min="4109" max="4109" width="18.69921875" style="3" customWidth="1"/>
    <col min="4110" max="4352" width="9" style="3" customWidth="1"/>
    <col min="4353" max="4353" width="9.19921875" style="3" customWidth="1"/>
    <col min="4354" max="4354" width="7" style="3" customWidth="1"/>
    <col min="4355" max="4355" width="7.59765625" style="3" customWidth="1"/>
    <col min="4356" max="4358" width="9.09765625" style="3" customWidth="1"/>
    <col min="4359" max="4359" width="10.09765625" style="3" customWidth="1"/>
    <col min="4360" max="4361" width="7.8984375" style="3" customWidth="1"/>
    <col min="4362" max="4362" width="15" style="3" customWidth="1"/>
    <col min="4363" max="4364" width="9.8984375" style="3" customWidth="1"/>
    <col min="4365" max="4365" width="18.69921875" style="3" customWidth="1"/>
    <col min="4366" max="4608" width="9" style="3" customWidth="1"/>
    <col min="4609" max="4609" width="9.19921875" style="3" customWidth="1"/>
    <col min="4610" max="4610" width="7" style="3" customWidth="1"/>
    <col min="4611" max="4611" width="7.59765625" style="3" customWidth="1"/>
    <col min="4612" max="4614" width="9.09765625" style="3" customWidth="1"/>
    <col min="4615" max="4615" width="10.09765625" style="3" customWidth="1"/>
    <col min="4616" max="4617" width="7.8984375" style="3" customWidth="1"/>
    <col min="4618" max="4618" width="15" style="3" customWidth="1"/>
    <col min="4619" max="4620" width="9.8984375" style="3" customWidth="1"/>
    <col min="4621" max="4621" width="18.69921875" style="3" customWidth="1"/>
    <col min="4622" max="4864" width="9" style="3" customWidth="1"/>
    <col min="4865" max="4865" width="9.19921875" style="3" customWidth="1"/>
    <col min="4866" max="4866" width="7" style="3" customWidth="1"/>
    <col min="4867" max="4867" width="7.59765625" style="3" customWidth="1"/>
    <col min="4868" max="4870" width="9.09765625" style="3" customWidth="1"/>
    <col min="4871" max="4871" width="10.09765625" style="3" customWidth="1"/>
    <col min="4872" max="4873" width="7.8984375" style="3" customWidth="1"/>
    <col min="4874" max="4874" width="15" style="3" customWidth="1"/>
    <col min="4875" max="4876" width="9.8984375" style="3" customWidth="1"/>
    <col min="4877" max="4877" width="18.69921875" style="3" customWidth="1"/>
    <col min="4878" max="5120" width="9" style="3" customWidth="1"/>
    <col min="5121" max="5121" width="9.19921875" style="3" customWidth="1"/>
    <col min="5122" max="5122" width="7" style="3" customWidth="1"/>
    <col min="5123" max="5123" width="7.59765625" style="3" customWidth="1"/>
    <col min="5124" max="5126" width="9.09765625" style="3" customWidth="1"/>
    <col min="5127" max="5127" width="10.09765625" style="3" customWidth="1"/>
    <col min="5128" max="5129" width="7.8984375" style="3" customWidth="1"/>
    <col min="5130" max="5130" width="15" style="3" customWidth="1"/>
    <col min="5131" max="5132" width="9.8984375" style="3" customWidth="1"/>
    <col min="5133" max="5133" width="18.69921875" style="3" customWidth="1"/>
    <col min="5134" max="5376" width="9" style="3" customWidth="1"/>
    <col min="5377" max="5377" width="9.19921875" style="3" customWidth="1"/>
    <col min="5378" max="5378" width="7" style="3" customWidth="1"/>
    <col min="5379" max="5379" width="7.59765625" style="3" customWidth="1"/>
    <col min="5380" max="5382" width="9.09765625" style="3" customWidth="1"/>
    <col min="5383" max="5383" width="10.09765625" style="3" customWidth="1"/>
    <col min="5384" max="5385" width="7.8984375" style="3" customWidth="1"/>
    <col min="5386" max="5386" width="15" style="3" customWidth="1"/>
    <col min="5387" max="5388" width="9.8984375" style="3" customWidth="1"/>
    <col min="5389" max="5389" width="18.69921875" style="3" customWidth="1"/>
    <col min="5390" max="5632" width="9" style="3" customWidth="1"/>
    <col min="5633" max="5633" width="9.19921875" style="3" customWidth="1"/>
    <col min="5634" max="5634" width="7" style="3" customWidth="1"/>
    <col min="5635" max="5635" width="7.59765625" style="3" customWidth="1"/>
    <col min="5636" max="5638" width="9.09765625" style="3" customWidth="1"/>
    <col min="5639" max="5639" width="10.09765625" style="3" customWidth="1"/>
    <col min="5640" max="5641" width="7.8984375" style="3" customWidth="1"/>
    <col min="5642" max="5642" width="15" style="3" customWidth="1"/>
    <col min="5643" max="5644" width="9.8984375" style="3" customWidth="1"/>
    <col min="5645" max="5645" width="18.69921875" style="3" customWidth="1"/>
    <col min="5646" max="5888" width="9" style="3" customWidth="1"/>
    <col min="5889" max="5889" width="9.19921875" style="3" customWidth="1"/>
    <col min="5890" max="5890" width="7" style="3" customWidth="1"/>
    <col min="5891" max="5891" width="7.59765625" style="3" customWidth="1"/>
    <col min="5892" max="5894" width="9.09765625" style="3" customWidth="1"/>
    <col min="5895" max="5895" width="10.09765625" style="3" customWidth="1"/>
    <col min="5896" max="5897" width="7.8984375" style="3" customWidth="1"/>
    <col min="5898" max="5898" width="15" style="3" customWidth="1"/>
    <col min="5899" max="5900" width="9.8984375" style="3" customWidth="1"/>
    <col min="5901" max="5901" width="18.69921875" style="3" customWidth="1"/>
    <col min="5902" max="6144" width="9" style="3" customWidth="1"/>
    <col min="6145" max="6145" width="9.19921875" style="3" customWidth="1"/>
    <col min="6146" max="6146" width="7" style="3" customWidth="1"/>
    <col min="6147" max="6147" width="7.59765625" style="3" customWidth="1"/>
    <col min="6148" max="6150" width="9.09765625" style="3" customWidth="1"/>
    <col min="6151" max="6151" width="10.09765625" style="3" customWidth="1"/>
    <col min="6152" max="6153" width="7.8984375" style="3" customWidth="1"/>
    <col min="6154" max="6154" width="15" style="3" customWidth="1"/>
    <col min="6155" max="6156" width="9.8984375" style="3" customWidth="1"/>
    <col min="6157" max="6157" width="18.69921875" style="3" customWidth="1"/>
    <col min="6158" max="6400" width="9" style="3" customWidth="1"/>
    <col min="6401" max="6401" width="9.19921875" style="3" customWidth="1"/>
    <col min="6402" max="6402" width="7" style="3" customWidth="1"/>
    <col min="6403" max="6403" width="7.59765625" style="3" customWidth="1"/>
    <col min="6404" max="6406" width="9.09765625" style="3" customWidth="1"/>
    <col min="6407" max="6407" width="10.09765625" style="3" customWidth="1"/>
    <col min="6408" max="6409" width="7.8984375" style="3" customWidth="1"/>
    <col min="6410" max="6410" width="15" style="3" customWidth="1"/>
    <col min="6411" max="6412" width="9.8984375" style="3" customWidth="1"/>
    <col min="6413" max="6413" width="18.69921875" style="3" customWidth="1"/>
    <col min="6414" max="6656" width="9" style="3" customWidth="1"/>
    <col min="6657" max="6657" width="9.19921875" style="3" customWidth="1"/>
    <col min="6658" max="6658" width="7" style="3" customWidth="1"/>
    <col min="6659" max="6659" width="7.59765625" style="3" customWidth="1"/>
    <col min="6660" max="6662" width="9.09765625" style="3" customWidth="1"/>
    <col min="6663" max="6663" width="10.09765625" style="3" customWidth="1"/>
    <col min="6664" max="6665" width="7.8984375" style="3" customWidth="1"/>
    <col min="6666" max="6666" width="15" style="3" customWidth="1"/>
    <col min="6667" max="6668" width="9.8984375" style="3" customWidth="1"/>
    <col min="6669" max="6669" width="18.69921875" style="3" customWidth="1"/>
    <col min="6670" max="6912" width="9" style="3" customWidth="1"/>
    <col min="6913" max="6913" width="9.19921875" style="3" customWidth="1"/>
    <col min="6914" max="6914" width="7" style="3" customWidth="1"/>
    <col min="6915" max="6915" width="7.59765625" style="3" customWidth="1"/>
    <col min="6916" max="6918" width="9.09765625" style="3" customWidth="1"/>
    <col min="6919" max="6919" width="10.09765625" style="3" customWidth="1"/>
    <col min="6920" max="6921" width="7.8984375" style="3" customWidth="1"/>
    <col min="6922" max="6922" width="15" style="3" customWidth="1"/>
    <col min="6923" max="6924" width="9.8984375" style="3" customWidth="1"/>
    <col min="6925" max="6925" width="18.69921875" style="3" customWidth="1"/>
    <col min="6926" max="7168" width="9" style="3" customWidth="1"/>
    <col min="7169" max="7169" width="9.19921875" style="3" customWidth="1"/>
    <col min="7170" max="7170" width="7" style="3" customWidth="1"/>
    <col min="7171" max="7171" width="7.59765625" style="3" customWidth="1"/>
    <col min="7172" max="7174" width="9.09765625" style="3" customWidth="1"/>
    <col min="7175" max="7175" width="10.09765625" style="3" customWidth="1"/>
    <col min="7176" max="7177" width="7.8984375" style="3" customWidth="1"/>
    <col min="7178" max="7178" width="15" style="3" customWidth="1"/>
    <col min="7179" max="7180" width="9.8984375" style="3" customWidth="1"/>
    <col min="7181" max="7181" width="18.69921875" style="3" customWidth="1"/>
    <col min="7182" max="7424" width="9" style="3" customWidth="1"/>
    <col min="7425" max="7425" width="9.19921875" style="3" customWidth="1"/>
    <col min="7426" max="7426" width="7" style="3" customWidth="1"/>
    <col min="7427" max="7427" width="7.59765625" style="3" customWidth="1"/>
    <col min="7428" max="7430" width="9.09765625" style="3" customWidth="1"/>
    <col min="7431" max="7431" width="10.09765625" style="3" customWidth="1"/>
    <col min="7432" max="7433" width="7.8984375" style="3" customWidth="1"/>
    <col min="7434" max="7434" width="15" style="3" customWidth="1"/>
    <col min="7435" max="7436" width="9.8984375" style="3" customWidth="1"/>
    <col min="7437" max="7437" width="18.69921875" style="3" customWidth="1"/>
    <col min="7438" max="7680" width="9" style="3" customWidth="1"/>
    <col min="7681" max="7681" width="9.19921875" style="3" customWidth="1"/>
    <col min="7682" max="7682" width="7" style="3" customWidth="1"/>
    <col min="7683" max="7683" width="7.59765625" style="3" customWidth="1"/>
    <col min="7684" max="7686" width="9.09765625" style="3" customWidth="1"/>
    <col min="7687" max="7687" width="10.09765625" style="3" customWidth="1"/>
    <col min="7688" max="7689" width="7.8984375" style="3" customWidth="1"/>
    <col min="7690" max="7690" width="15" style="3" customWidth="1"/>
    <col min="7691" max="7692" width="9.8984375" style="3" customWidth="1"/>
    <col min="7693" max="7693" width="18.69921875" style="3" customWidth="1"/>
    <col min="7694" max="7936" width="9" style="3" customWidth="1"/>
    <col min="7937" max="7937" width="9.19921875" style="3" customWidth="1"/>
    <col min="7938" max="7938" width="7" style="3" customWidth="1"/>
    <col min="7939" max="7939" width="7.59765625" style="3" customWidth="1"/>
    <col min="7940" max="7942" width="9.09765625" style="3" customWidth="1"/>
    <col min="7943" max="7943" width="10.09765625" style="3" customWidth="1"/>
    <col min="7944" max="7945" width="7.8984375" style="3" customWidth="1"/>
    <col min="7946" max="7946" width="15" style="3" customWidth="1"/>
    <col min="7947" max="7948" width="9.8984375" style="3" customWidth="1"/>
    <col min="7949" max="7949" width="18.69921875" style="3" customWidth="1"/>
    <col min="7950" max="8192" width="9" style="3" customWidth="1"/>
    <col min="8193" max="8193" width="9.19921875" style="3" customWidth="1"/>
    <col min="8194" max="8194" width="7" style="3" customWidth="1"/>
    <col min="8195" max="8195" width="7.59765625" style="3" customWidth="1"/>
    <col min="8196" max="8198" width="9.09765625" style="3" customWidth="1"/>
    <col min="8199" max="8199" width="10.09765625" style="3" customWidth="1"/>
    <col min="8200" max="8201" width="7.8984375" style="3" customWidth="1"/>
    <col min="8202" max="8202" width="15" style="3" customWidth="1"/>
    <col min="8203" max="8204" width="9.8984375" style="3" customWidth="1"/>
    <col min="8205" max="8205" width="18.69921875" style="3" customWidth="1"/>
    <col min="8206" max="8448" width="9" style="3" customWidth="1"/>
    <col min="8449" max="8449" width="9.19921875" style="3" customWidth="1"/>
    <col min="8450" max="8450" width="7" style="3" customWidth="1"/>
    <col min="8451" max="8451" width="7.59765625" style="3" customWidth="1"/>
    <col min="8452" max="8454" width="9.09765625" style="3" customWidth="1"/>
    <col min="8455" max="8455" width="10.09765625" style="3" customWidth="1"/>
    <col min="8456" max="8457" width="7.8984375" style="3" customWidth="1"/>
    <col min="8458" max="8458" width="15" style="3" customWidth="1"/>
    <col min="8459" max="8460" width="9.8984375" style="3" customWidth="1"/>
    <col min="8461" max="8461" width="18.69921875" style="3" customWidth="1"/>
    <col min="8462" max="8704" width="9" style="3" customWidth="1"/>
    <col min="8705" max="8705" width="9.19921875" style="3" customWidth="1"/>
    <col min="8706" max="8706" width="7" style="3" customWidth="1"/>
    <col min="8707" max="8707" width="7.59765625" style="3" customWidth="1"/>
    <col min="8708" max="8710" width="9.09765625" style="3" customWidth="1"/>
    <col min="8711" max="8711" width="10.09765625" style="3" customWidth="1"/>
    <col min="8712" max="8713" width="7.8984375" style="3" customWidth="1"/>
    <col min="8714" max="8714" width="15" style="3" customWidth="1"/>
    <col min="8715" max="8716" width="9.8984375" style="3" customWidth="1"/>
    <col min="8717" max="8717" width="18.69921875" style="3" customWidth="1"/>
    <col min="8718" max="8960" width="9" style="3" customWidth="1"/>
    <col min="8961" max="8961" width="9.19921875" style="3" customWidth="1"/>
    <col min="8962" max="8962" width="7" style="3" customWidth="1"/>
    <col min="8963" max="8963" width="7.59765625" style="3" customWidth="1"/>
    <col min="8964" max="8966" width="9.09765625" style="3" customWidth="1"/>
    <col min="8967" max="8967" width="10.09765625" style="3" customWidth="1"/>
    <col min="8968" max="8969" width="7.8984375" style="3" customWidth="1"/>
    <col min="8970" max="8970" width="15" style="3" customWidth="1"/>
    <col min="8971" max="8972" width="9.8984375" style="3" customWidth="1"/>
    <col min="8973" max="8973" width="18.69921875" style="3" customWidth="1"/>
    <col min="8974" max="9216" width="9" style="3" customWidth="1"/>
    <col min="9217" max="9217" width="9.19921875" style="3" customWidth="1"/>
    <col min="9218" max="9218" width="7" style="3" customWidth="1"/>
    <col min="9219" max="9219" width="7.59765625" style="3" customWidth="1"/>
    <col min="9220" max="9222" width="9.09765625" style="3" customWidth="1"/>
    <col min="9223" max="9223" width="10.09765625" style="3" customWidth="1"/>
    <col min="9224" max="9225" width="7.8984375" style="3" customWidth="1"/>
    <col min="9226" max="9226" width="15" style="3" customWidth="1"/>
    <col min="9227" max="9228" width="9.8984375" style="3" customWidth="1"/>
    <col min="9229" max="9229" width="18.69921875" style="3" customWidth="1"/>
    <col min="9230" max="9472" width="9" style="3" customWidth="1"/>
    <col min="9473" max="9473" width="9.19921875" style="3" customWidth="1"/>
    <col min="9474" max="9474" width="7" style="3" customWidth="1"/>
    <col min="9475" max="9475" width="7.59765625" style="3" customWidth="1"/>
    <col min="9476" max="9478" width="9.09765625" style="3" customWidth="1"/>
    <col min="9479" max="9479" width="10.09765625" style="3" customWidth="1"/>
    <col min="9480" max="9481" width="7.8984375" style="3" customWidth="1"/>
    <col min="9482" max="9482" width="15" style="3" customWidth="1"/>
    <col min="9483" max="9484" width="9.8984375" style="3" customWidth="1"/>
    <col min="9485" max="9485" width="18.69921875" style="3" customWidth="1"/>
    <col min="9486" max="9728" width="9" style="3" customWidth="1"/>
    <col min="9729" max="9729" width="9.19921875" style="3" customWidth="1"/>
    <col min="9730" max="9730" width="7" style="3" customWidth="1"/>
    <col min="9731" max="9731" width="7.59765625" style="3" customWidth="1"/>
    <col min="9732" max="9734" width="9.09765625" style="3" customWidth="1"/>
    <col min="9735" max="9735" width="10.09765625" style="3" customWidth="1"/>
    <col min="9736" max="9737" width="7.8984375" style="3" customWidth="1"/>
    <col min="9738" max="9738" width="15" style="3" customWidth="1"/>
    <col min="9739" max="9740" width="9.8984375" style="3" customWidth="1"/>
    <col min="9741" max="9741" width="18.69921875" style="3" customWidth="1"/>
    <col min="9742" max="9984" width="9" style="3" customWidth="1"/>
    <col min="9985" max="9985" width="9.19921875" style="3" customWidth="1"/>
    <col min="9986" max="9986" width="7" style="3" customWidth="1"/>
    <col min="9987" max="9987" width="7.59765625" style="3" customWidth="1"/>
    <col min="9988" max="9990" width="9.09765625" style="3" customWidth="1"/>
    <col min="9991" max="9991" width="10.09765625" style="3" customWidth="1"/>
    <col min="9992" max="9993" width="7.8984375" style="3" customWidth="1"/>
    <col min="9994" max="9994" width="15" style="3" customWidth="1"/>
    <col min="9995" max="9996" width="9.8984375" style="3" customWidth="1"/>
    <col min="9997" max="9997" width="18.69921875" style="3" customWidth="1"/>
    <col min="9998" max="10240" width="9" style="3" customWidth="1"/>
    <col min="10241" max="10241" width="9.19921875" style="3" customWidth="1"/>
    <col min="10242" max="10242" width="7" style="3" customWidth="1"/>
    <col min="10243" max="10243" width="7.59765625" style="3" customWidth="1"/>
    <col min="10244" max="10246" width="9.09765625" style="3" customWidth="1"/>
    <col min="10247" max="10247" width="10.09765625" style="3" customWidth="1"/>
    <col min="10248" max="10249" width="7.8984375" style="3" customWidth="1"/>
    <col min="10250" max="10250" width="15" style="3" customWidth="1"/>
    <col min="10251" max="10252" width="9.8984375" style="3" customWidth="1"/>
    <col min="10253" max="10253" width="18.69921875" style="3" customWidth="1"/>
    <col min="10254" max="10496" width="9" style="3" customWidth="1"/>
    <col min="10497" max="10497" width="9.19921875" style="3" customWidth="1"/>
    <col min="10498" max="10498" width="7" style="3" customWidth="1"/>
    <col min="10499" max="10499" width="7.59765625" style="3" customWidth="1"/>
    <col min="10500" max="10502" width="9.09765625" style="3" customWidth="1"/>
    <col min="10503" max="10503" width="10.09765625" style="3" customWidth="1"/>
    <col min="10504" max="10505" width="7.8984375" style="3" customWidth="1"/>
    <col min="10506" max="10506" width="15" style="3" customWidth="1"/>
    <col min="10507" max="10508" width="9.8984375" style="3" customWidth="1"/>
    <col min="10509" max="10509" width="18.69921875" style="3" customWidth="1"/>
    <col min="10510" max="10752" width="9" style="3" customWidth="1"/>
    <col min="10753" max="10753" width="9.19921875" style="3" customWidth="1"/>
    <col min="10754" max="10754" width="7" style="3" customWidth="1"/>
    <col min="10755" max="10755" width="7.59765625" style="3" customWidth="1"/>
    <col min="10756" max="10758" width="9.09765625" style="3" customWidth="1"/>
    <col min="10759" max="10759" width="10.09765625" style="3" customWidth="1"/>
    <col min="10760" max="10761" width="7.8984375" style="3" customWidth="1"/>
    <col min="10762" max="10762" width="15" style="3" customWidth="1"/>
    <col min="10763" max="10764" width="9.8984375" style="3" customWidth="1"/>
    <col min="10765" max="10765" width="18.69921875" style="3" customWidth="1"/>
    <col min="10766" max="11008" width="9" style="3" customWidth="1"/>
    <col min="11009" max="11009" width="9.19921875" style="3" customWidth="1"/>
    <col min="11010" max="11010" width="7" style="3" customWidth="1"/>
    <col min="11011" max="11011" width="7.59765625" style="3" customWidth="1"/>
    <col min="11012" max="11014" width="9.09765625" style="3" customWidth="1"/>
    <col min="11015" max="11015" width="10.09765625" style="3" customWidth="1"/>
    <col min="11016" max="11017" width="7.8984375" style="3" customWidth="1"/>
    <col min="11018" max="11018" width="15" style="3" customWidth="1"/>
    <col min="11019" max="11020" width="9.8984375" style="3" customWidth="1"/>
    <col min="11021" max="11021" width="18.69921875" style="3" customWidth="1"/>
    <col min="11022" max="11264" width="9" style="3" customWidth="1"/>
    <col min="11265" max="11265" width="9.19921875" style="3" customWidth="1"/>
    <col min="11266" max="11266" width="7" style="3" customWidth="1"/>
    <col min="11267" max="11267" width="7.59765625" style="3" customWidth="1"/>
    <col min="11268" max="11270" width="9.09765625" style="3" customWidth="1"/>
    <col min="11271" max="11271" width="10.09765625" style="3" customWidth="1"/>
    <col min="11272" max="11273" width="7.8984375" style="3" customWidth="1"/>
    <col min="11274" max="11274" width="15" style="3" customWidth="1"/>
    <col min="11275" max="11276" width="9.8984375" style="3" customWidth="1"/>
    <col min="11277" max="11277" width="18.69921875" style="3" customWidth="1"/>
    <col min="11278" max="11520" width="9" style="3" customWidth="1"/>
    <col min="11521" max="11521" width="9.19921875" style="3" customWidth="1"/>
    <col min="11522" max="11522" width="7" style="3" customWidth="1"/>
    <col min="11523" max="11523" width="7.59765625" style="3" customWidth="1"/>
    <col min="11524" max="11526" width="9.09765625" style="3" customWidth="1"/>
    <col min="11527" max="11527" width="10.09765625" style="3" customWidth="1"/>
    <col min="11528" max="11529" width="7.8984375" style="3" customWidth="1"/>
    <col min="11530" max="11530" width="15" style="3" customWidth="1"/>
    <col min="11531" max="11532" width="9.8984375" style="3" customWidth="1"/>
    <col min="11533" max="11533" width="18.69921875" style="3" customWidth="1"/>
    <col min="11534" max="11776" width="9" style="3" customWidth="1"/>
    <col min="11777" max="11777" width="9.19921875" style="3" customWidth="1"/>
    <col min="11778" max="11778" width="7" style="3" customWidth="1"/>
    <col min="11779" max="11779" width="7.59765625" style="3" customWidth="1"/>
    <col min="11780" max="11782" width="9.09765625" style="3" customWidth="1"/>
    <col min="11783" max="11783" width="10.09765625" style="3" customWidth="1"/>
    <col min="11784" max="11785" width="7.8984375" style="3" customWidth="1"/>
    <col min="11786" max="11786" width="15" style="3" customWidth="1"/>
    <col min="11787" max="11788" width="9.8984375" style="3" customWidth="1"/>
    <col min="11789" max="11789" width="18.69921875" style="3" customWidth="1"/>
    <col min="11790" max="12032" width="9" style="3" customWidth="1"/>
    <col min="12033" max="12033" width="9.19921875" style="3" customWidth="1"/>
    <col min="12034" max="12034" width="7" style="3" customWidth="1"/>
    <col min="12035" max="12035" width="7.59765625" style="3" customWidth="1"/>
    <col min="12036" max="12038" width="9.09765625" style="3" customWidth="1"/>
    <col min="12039" max="12039" width="10.09765625" style="3" customWidth="1"/>
    <col min="12040" max="12041" width="7.8984375" style="3" customWidth="1"/>
    <col min="12042" max="12042" width="15" style="3" customWidth="1"/>
    <col min="12043" max="12044" width="9.8984375" style="3" customWidth="1"/>
    <col min="12045" max="12045" width="18.69921875" style="3" customWidth="1"/>
    <col min="12046" max="12288" width="9" style="3" customWidth="1"/>
    <col min="12289" max="12289" width="9.19921875" style="3" customWidth="1"/>
    <col min="12290" max="12290" width="7" style="3" customWidth="1"/>
    <col min="12291" max="12291" width="7.59765625" style="3" customWidth="1"/>
    <col min="12292" max="12294" width="9.09765625" style="3" customWidth="1"/>
    <col min="12295" max="12295" width="10.09765625" style="3" customWidth="1"/>
    <col min="12296" max="12297" width="7.8984375" style="3" customWidth="1"/>
    <col min="12298" max="12298" width="15" style="3" customWidth="1"/>
    <col min="12299" max="12300" width="9.8984375" style="3" customWidth="1"/>
    <col min="12301" max="12301" width="18.69921875" style="3" customWidth="1"/>
    <col min="12302" max="12544" width="9" style="3" customWidth="1"/>
    <col min="12545" max="12545" width="9.19921875" style="3" customWidth="1"/>
    <col min="12546" max="12546" width="7" style="3" customWidth="1"/>
    <col min="12547" max="12547" width="7.59765625" style="3" customWidth="1"/>
    <col min="12548" max="12550" width="9.09765625" style="3" customWidth="1"/>
    <col min="12551" max="12551" width="10.09765625" style="3" customWidth="1"/>
    <col min="12552" max="12553" width="7.8984375" style="3" customWidth="1"/>
    <col min="12554" max="12554" width="15" style="3" customWidth="1"/>
    <col min="12555" max="12556" width="9.8984375" style="3" customWidth="1"/>
    <col min="12557" max="12557" width="18.69921875" style="3" customWidth="1"/>
    <col min="12558" max="12800" width="9" style="3" customWidth="1"/>
    <col min="12801" max="12801" width="9.19921875" style="3" customWidth="1"/>
    <col min="12802" max="12802" width="7" style="3" customWidth="1"/>
    <col min="12803" max="12803" width="7.59765625" style="3" customWidth="1"/>
    <col min="12804" max="12806" width="9.09765625" style="3" customWidth="1"/>
    <col min="12807" max="12807" width="10.09765625" style="3" customWidth="1"/>
    <col min="12808" max="12809" width="7.8984375" style="3" customWidth="1"/>
    <col min="12810" max="12810" width="15" style="3" customWidth="1"/>
    <col min="12811" max="12812" width="9.8984375" style="3" customWidth="1"/>
    <col min="12813" max="12813" width="18.69921875" style="3" customWidth="1"/>
    <col min="12814" max="13056" width="9" style="3" customWidth="1"/>
    <col min="13057" max="13057" width="9.19921875" style="3" customWidth="1"/>
    <col min="13058" max="13058" width="7" style="3" customWidth="1"/>
    <col min="13059" max="13059" width="7.59765625" style="3" customWidth="1"/>
    <col min="13060" max="13062" width="9.09765625" style="3" customWidth="1"/>
    <col min="13063" max="13063" width="10.09765625" style="3" customWidth="1"/>
    <col min="13064" max="13065" width="7.8984375" style="3" customWidth="1"/>
    <col min="13066" max="13066" width="15" style="3" customWidth="1"/>
    <col min="13067" max="13068" width="9.8984375" style="3" customWidth="1"/>
    <col min="13069" max="13069" width="18.69921875" style="3" customWidth="1"/>
    <col min="13070" max="13312" width="9" style="3" customWidth="1"/>
    <col min="13313" max="13313" width="9.19921875" style="3" customWidth="1"/>
    <col min="13314" max="13314" width="7" style="3" customWidth="1"/>
    <col min="13315" max="13315" width="7.59765625" style="3" customWidth="1"/>
    <col min="13316" max="13318" width="9.09765625" style="3" customWidth="1"/>
    <col min="13319" max="13319" width="10.09765625" style="3" customWidth="1"/>
    <col min="13320" max="13321" width="7.8984375" style="3" customWidth="1"/>
    <col min="13322" max="13322" width="15" style="3" customWidth="1"/>
    <col min="13323" max="13324" width="9.8984375" style="3" customWidth="1"/>
    <col min="13325" max="13325" width="18.69921875" style="3" customWidth="1"/>
    <col min="13326" max="13568" width="9" style="3" customWidth="1"/>
    <col min="13569" max="13569" width="9.19921875" style="3" customWidth="1"/>
    <col min="13570" max="13570" width="7" style="3" customWidth="1"/>
    <col min="13571" max="13571" width="7.59765625" style="3" customWidth="1"/>
    <col min="13572" max="13574" width="9.09765625" style="3" customWidth="1"/>
    <col min="13575" max="13575" width="10.09765625" style="3" customWidth="1"/>
    <col min="13576" max="13577" width="7.8984375" style="3" customWidth="1"/>
    <col min="13578" max="13578" width="15" style="3" customWidth="1"/>
    <col min="13579" max="13580" width="9.8984375" style="3" customWidth="1"/>
    <col min="13581" max="13581" width="18.69921875" style="3" customWidth="1"/>
    <col min="13582" max="13824" width="9" style="3" customWidth="1"/>
    <col min="13825" max="13825" width="9.19921875" style="3" customWidth="1"/>
    <col min="13826" max="13826" width="7" style="3" customWidth="1"/>
    <col min="13827" max="13827" width="7.59765625" style="3" customWidth="1"/>
    <col min="13828" max="13830" width="9.09765625" style="3" customWidth="1"/>
    <col min="13831" max="13831" width="10.09765625" style="3" customWidth="1"/>
    <col min="13832" max="13833" width="7.8984375" style="3" customWidth="1"/>
    <col min="13834" max="13834" width="15" style="3" customWidth="1"/>
    <col min="13835" max="13836" width="9.8984375" style="3" customWidth="1"/>
    <col min="13837" max="13837" width="18.69921875" style="3" customWidth="1"/>
    <col min="13838" max="14080" width="9" style="3" customWidth="1"/>
    <col min="14081" max="14081" width="9.19921875" style="3" customWidth="1"/>
    <col min="14082" max="14082" width="7" style="3" customWidth="1"/>
    <col min="14083" max="14083" width="7.59765625" style="3" customWidth="1"/>
    <col min="14084" max="14086" width="9.09765625" style="3" customWidth="1"/>
    <col min="14087" max="14087" width="10.09765625" style="3" customWidth="1"/>
    <col min="14088" max="14089" width="7.8984375" style="3" customWidth="1"/>
    <col min="14090" max="14090" width="15" style="3" customWidth="1"/>
    <col min="14091" max="14092" width="9.8984375" style="3" customWidth="1"/>
    <col min="14093" max="14093" width="18.69921875" style="3" customWidth="1"/>
    <col min="14094" max="14336" width="9" style="3" customWidth="1"/>
    <col min="14337" max="14337" width="9.19921875" style="3" customWidth="1"/>
    <col min="14338" max="14338" width="7" style="3" customWidth="1"/>
    <col min="14339" max="14339" width="7.59765625" style="3" customWidth="1"/>
    <col min="14340" max="14342" width="9.09765625" style="3" customWidth="1"/>
    <col min="14343" max="14343" width="10.09765625" style="3" customWidth="1"/>
    <col min="14344" max="14345" width="7.8984375" style="3" customWidth="1"/>
    <col min="14346" max="14346" width="15" style="3" customWidth="1"/>
    <col min="14347" max="14348" width="9.8984375" style="3" customWidth="1"/>
    <col min="14349" max="14349" width="18.69921875" style="3" customWidth="1"/>
    <col min="14350" max="14592" width="9" style="3" customWidth="1"/>
    <col min="14593" max="14593" width="9.19921875" style="3" customWidth="1"/>
    <col min="14594" max="14594" width="7" style="3" customWidth="1"/>
    <col min="14595" max="14595" width="7.59765625" style="3" customWidth="1"/>
    <col min="14596" max="14598" width="9.09765625" style="3" customWidth="1"/>
    <col min="14599" max="14599" width="10.09765625" style="3" customWidth="1"/>
    <col min="14600" max="14601" width="7.8984375" style="3" customWidth="1"/>
    <col min="14602" max="14602" width="15" style="3" customWidth="1"/>
    <col min="14603" max="14604" width="9.8984375" style="3" customWidth="1"/>
    <col min="14605" max="14605" width="18.69921875" style="3" customWidth="1"/>
    <col min="14606" max="14848" width="9" style="3" customWidth="1"/>
    <col min="14849" max="14849" width="9.19921875" style="3" customWidth="1"/>
    <col min="14850" max="14850" width="7" style="3" customWidth="1"/>
    <col min="14851" max="14851" width="7.59765625" style="3" customWidth="1"/>
    <col min="14852" max="14854" width="9.09765625" style="3" customWidth="1"/>
    <col min="14855" max="14855" width="10.09765625" style="3" customWidth="1"/>
    <col min="14856" max="14857" width="7.8984375" style="3" customWidth="1"/>
    <col min="14858" max="14858" width="15" style="3" customWidth="1"/>
    <col min="14859" max="14860" width="9.8984375" style="3" customWidth="1"/>
    <col min="14861" max="14861" width="18.69921875" style="3" customWidth="1"/>
    <col min="14862" max="15104" width="9" style="3" customWidth="1"/>
    <col min="15105" max="15105" width="9.19921875" style="3" customWidth="1"/>
    <col min="15106" max="15106" width="7" style="3" customWidth="1"/>
    <col min="15107" max="15107" width="7.59765625" style="3" customWidth="1"/>
    <col min="15108" max="15110" width="9.09765625" style="3" customWidth="1"/>
    <col min="15111" max="15111" width="10.09765625" style="3" customWidth="1"/>
    <col min="15112" max="15113" width="7.8984375" style="3" customWidth="1"/>
    <col min="15114" max="15114" width="15" style="3" customWidth="1"/>
    <col min="15115" max="15116" width="9.8984375" style="3" customWidth="1"/>
    <col min="15117" max="15117" width="18.69921875" style="3" customWidth="1"/>
    <col min="15118" max="15360" width="9" style="3" customWidth="1"/>
    <col min="15361" max="15361" width="9.19921875" style="3" customWidth="1"/>
    <col min="15362" max="15362" width="7" style="3" customWidth="1"/>
    <col min="15363" max="15363" width="7.59765625" style="3" customWidth="1"/>
    <col min="15364" max="15366" width="9.09765625" style="3" customWidth="1"/>
    <col min="15367" max="15367" width="10.09765625" style="3" customWidth="1"/>
    <col min="15368" max="15369" width="7.8984375" style="3" customWidth="1"/>
    <col min="15370" max="15370" width="15" style="3" customWidth="1"/>
    <col min="15371" max="15372" width="9.8984375" style="3" customWidth="1"/>
    <col min="15373" max="15373" width="18.69921875" style="3" customWidth="1"/>
    <col min="15374" max="15616" width="9" style="3" customWidth="1"/>
    <col min="15617" max="15617" width="9.19921875" style="3" customWidth="1"/>
    <col min="15618" max="15618" width="7" style="3" customWidth="1"/>
    <col min="15619" max="15619" width="7.59765625" style="3" customWidth="1"/>
    <col min="15620" max="15622" width="9.09765625" style="3" customWidth="1"/>
    <col min="15623" max="15623" width="10.09765625" style="3" customWidth="1"/>
    <col min="15624" max="15625" width="7.8984375" style="3" customWidth="1"/>
    <col min="15626" max="15626" width="15" style="3" customWidth="1"/>
    <col min="15627" max="15628" width="9.8984375" style="3" customWidth="1"/>
    <col min="15629" max="15629" width="18.69921875" style="3" customWidth="1"/>
    <col min="15630" max="15872" width="9" style="3" customWidth="1"/>
    <col min="15873" max="15873" width="9.19921875" style="3" customWidth="1"/>
    <col min="15874" max="15874" width="7" style="3" customWidth="1"/>
    <col min="15875" max="15875" width="7.59765625" style="3" customWidth="1"/>
    <col min="15876" max="15878" width="9.09765625" style="3" customWidth="1"/>
    <col min="15879" max="15879" width="10.09765625" style="3" customWidth="1"/>
    <col min="15880" max="15881" width="7.8984375" style="3" customWidth="1"/>
    <col min="15882" max="15882" width="15" style="3" customWidth="1"/>
    <col min="15883" max="15884" width="9.8984375" style="3" customWidth="1"/>
    <col min="15885" max="15885" width="18.69921875" style="3" customWidth="1"/>
    <col min="15886" max="16128" width="9" style="3" customWidth="1"/>
    <col min="16129" max="16129" width="9.19921875" style="3" customWidth="1"/>
    <col min="16130" max="16130" width="7" style="3" customWidth="1"/>
    <col min="16131" max="16131" width="7.59765625" style="3" customWidth="1"/>
    <col min="16132" max="16134" width="9.09765625" style="3" customWidth="1"/>
    <col min="16135" max="16135" width="10.09765625" style="3" customWidth="1"/>
    <col min="16136" max="16137" width="7.8984375" style="3" customWidth="1"/>
    <col min="16138" max="16138" width="15" style="3" customWidth="1"/>
    <col min="16139" max="16140" width="9.8984375" style="3" customWidth="1"/>
    <col min="16141" max="16141" width="18.69921875" style="3" customWidth="1"/>
    <col min="16142" max="16384" width="9" style="3" customWidth="1"/>
  </cols>
  <sheetData>
    <row r="1" ht="27.9" customHeight="1" spans="1:25" x14ac:dyDescent="0.25">
      <c r="A1" s="173" t="s">
        <v>25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2" customHeight="1" spans="1:25" x14ac:dyDescent="0.25">
      <c r="A2" s="158" t="s">
        <v>26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9.7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s="3" customFormat="1" x14ac:dyDescent="0.25">
      <c r="A4" s="174" t="s">
        <v>74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0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3" t="s">
        <v>39</v>
      </c>
      <c r="B6" s="138" t="s">
        <v>3</v>
      </c>
      <c r="C6" s="3"/>
      <c r="D6" s="3"/>
      <c r="E6" s="3"/>
      <c r="F6" s="3"/>
      <c r="G6" s="3" t="s">
        <v>40</v>
      </c>
      <c r="H6" s="138"/>
      <c r="I6" s="3"/>
      <c r="J6" s="3"/>
      <c r="K6" s="3" t="s">
        <v>41</v>
      </c>
      <c r="L6" s="572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5.25" customHeight="1" spans="1:2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175" t="s">
        <v>75</v>
      </c>
      <c r="B8" s="573" t="s">
        <v>26</v>
      </c>
      <c r="C8" s="3"/>
      <c r="D8" s="3"/>
      <c r="E8" s="3"/>
      <c r="F8" s="3"/>
      <c r="G8" s="3" t="s">
        <v>43</v>
      </c>
      <c r="H8" s="138"/>
      <c r="I8" s="3"/>
      <c r="J8" s="3"/>
      <c r="K8" s="175" t="s">
        <v>44</v>
      </c>
      <c r="L8" s="138"/>
      <c r="M8" s="158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8.2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170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6.2" customHeight="1" spans="1:25" x14ac:dyDescent="0.25">
      <c r="A10" s="177" t="s">
        <v>45</v>
      </c>
      <c r="B10" s="178" t="s">
        <v>46</v>
      </c>
      <c r="C10" s="178"/>
      <c r="D10" s="177" t="s">
        <v>47</v>
      </c>
      <c r="E10" s="177"/>
      <c r="F10" s="177"/>
      <c r="G10" s="179" t="s">
        <v>48</v>
      </c>
      <c r="H10" s="233" t="s">
        <v>49</v>
      </c>
      <c r="I10" s="234"/>
      <c r="J10" s="179" t="s">
        <v>76</v>
      </c>
      <c r="K10" s="177" t="s">
        <v>51</v>
      </c>
      <c r="L10" s="177" t="s">
        <v>52</v>
      </c>
      <c r="M10" s="177" t="s">
        <v>53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6.2" customHeight="1" spans="1:25" x14ac:dyDescent="0.25">
      <c r="A11" s="180"/>
      <c r="B11" s="181"/>
      <c r="C11" s="181"/>
      <c r="D11" s="180"/>
      <c r="E11" s="180"/>
      <c r="F11" s="180"/>
      <c r="G11" s="182" t="s">
        <v>54</v>
      </c>
      <c r="H11" s="235"/>
      <c r="I11" s="237"/>
      <c r="J11" s="182"/>
      <c r="K11" s="180"/>
      <c r="L11" s="180"/>
      <c r="M11" s="180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17.1" customHeight="1" spans="1:25" x14ac:dyDescent="0.25">
      <c r="A12" s="574"/>
      <c r="B12" s="189"/>
      <c r="C12" s="189"/>
      <c r="D12" s="575"/>
      <c r="E12" s="576"/>
      <c r="F12" s="577"/>
      <c r="G12" s="189"/>
      <c r="H12" s="192"/>
      <c r="I12" s="242"/>
      <c r="J12" s="192"/>
      <c r="K12" s="189"/>
      <c r="L12" s="189"/>
      <c r="M12" s="587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17.1" customHeight="1" spans="1:25" x14ac:dyDescent="0.25">
      <c r="A13" s="579"/>
      <c r="B13" s="195"/>
      <c r="C13" s="195"/>
      <c r="D13" s="580"/>
      <c r="E13" s="581"/>
      <c r="F13" s="582"/>
      <c r="G13" s="195"/>
      <c r="H13" s="199"/>
      <c r="I13" s="200"/>
      <c r="J13" s="199"/>
      <c r="K13" s="195"/>
      <c r="L13" s="195"/>
      <c r="M13" s="58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17.1" customHeight="1" spans="1:25" s="3" customFormat="1" x14ac:dyDescent="0.25">
      <c r="A14" s="579"/>
      <c r="B14" s="195"/>
      <c r="C14" s="195"/>
      <c r="D14" s="580"/>
      <c r="E14" s="581"/>
      <c r="F14" s="582"/>
      <c r="G14" s="195"/>
      <c r="H14" s="199"/>
      <c r="I14" s="200"/>
      <c r="J14" s="199"/>
      <c r="K14" s="195"/>
      <c r="L14" s="195"/>
      <c r="M14" s="58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7.1" customHeight="1" spans="1:25" s="3" customFormat="1" x14ac:dyDescent="0.25">
      <c r="A15" s="579"/>
      <c r="B15" s="195"/>
      <c r="C15" s="195"/>
      <c r="D15" s="580"/>
      <c r="E15" s="581"/>
      <c r="F15" s="582"/>
      <c r="G15" s="195"/>
      <c r="H15" s="199"/>
      <c r="I15" s="200"/>
      <c r="J15" s="199"/>
      <c r="K15" s="195"/>
      <c r="L15" s="195"/>
      <c r="M15" s="58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7.1" customHeight="1" spans="1:25" x14ac:dyDescent="0.25">
      <c r="A16" s="579"/>
      <c r="B16" s="195"/>
      <c r="C16" s="195"/>
      <c r="D16" s="580"/>
      <c r="E16" s="581"/>
      <c r="F16" s="582"/>
      <c r="G16" s="195"/>
      <c r="H16" s="199"/>
      <c r="I16" s="200"/>
      <c r="J16" s="199"/>
      <c r="K16" s="195"/>
      <c r="L16" s="195"/>
      <c r="M16" s="58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7.1" customHeight="1" spans="1:25" x14ac:dyDescent="0.25">
      <c r="A17" s="579"/>
      <c r="B17" s="195"/>
      <c r="C17" s="195"/>
      <c r="D17" s="580"/>
      <c r="E17" s="581"/>
      <c r="F17" s="582"/>
      <c r="G17" s="195"/>
      <c r="H17" s="199"/>
      <c r="I17" s="200"/>
      <c r="J17" s="199"/>
      <c r="K17" s="195"/>
      <c r="L17" s="195"/>
      <c r="M17" s="58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7.1" customHeight="1" spans="1:25" x14ac:dyDescent="0.25">
      <c r="A18" s="579"/>
      <c r="B18" s="195"/>
      <c r="C18" s="195"/>
      <c r="D18" s="580"/>
      <c r="E18" s="581"/>
      <c r="F18" s="582"/>
      <c r="G18" s="195"/>
      <c r="H18" s="199"/>
      <c r="I18" s="200"/>
      <c r="J18" s="199"/>
      <c r="K18" s="195"/>
      <c r="L18" s="195"/>
      <c r="M18" s="58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7.1" customHeight="1" spans="1:25" x14ac:dyDescent="0.25">
      <c r="A19" s="579"/>
      <c r="B19" s="195"/>
      <c r="C19" s="195"/>
      <c r="D19" s="580"/>
      <c r="E19" s="581"/>
      <c r="F19" s="582"/>
      <c r="G19" s="195"/>
      <c r="H19" s="199"/>
      <c r="I19" s="200"/>
      <c r="J19" s="199"/>
      <c r="K19" s="195"/>
      <c r="L19" s="195"/>
      <c r="M19" s="58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7.1" customHeight="1" spans="1:25" x14ac:dyDescent="0.25">
      <c r="A20" s="579"/>
      <c r="B20" s="195"/>
      <c r="C20" s="195"/>
      <c r="D20" s="580"/>
      <c r="E20" s="581"/>
      <c r="F20" s="582"/>
      <c r="G20" s="195"/>
      <c r="H20" s="199"/>
      <c r="I20" s="200"/>
      <c r="J20" s="199"/>
      <c r="K20" s="195"/>
      <c r="L20" s="195"/>
      <c r="M20" s="588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7.1" customHeight="1" spans="1:25" x14ac:dyDescent="0.25">
      <c r="A21" s="579"/>
      <c r="B21" s="195"/>
      <c r="C21" s="195"/>
      <c r="D21" s="580"/>
      <c r="E21" s="581"/>
      <c r="F21" s="582"/>
      <c r="G21" s="195"/>
      <c r="H21" s="199"/>
      <c r="I21" s="200"/>
      <c r="J21" s="199"/>
      <c r="K21" s="195"/>
      <c r="L21" s="195"/>
      <c r="M21" s="588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7.1" customHeight="1" spans="1:25" x14ac:dyDescent="0.25">
      <c r="A22" s="579"/>
      <c r="B22" s="195"/>
      <c r="C22" s="195"/>
      <c r="D22" s="580"/>
      <c r="E22" s="581"/>
      <c r="F22" s="582"/>
      <c r="G22" s="195"/>
      <c r="H22" s="199"/>
      <c r="I22" s="200"/>
      <c r="J22" s="199"/>
      <c r="K22" s="195"/>
      <c r="L22" s="195"/>
      <c r="M22" s="588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7.1" customHeight="1" spans="1:25" x14ac:dyDescent="0.25">
      <c r="A23" s="579"/>
      <c r="B23" s="195"/>
      <c r="C23" s="195"/>
      <c r="D23" s="580"/>
      <c r="E23" s="581"/>
      <c r="F23" s="582"/>
      <c r="G23" s="195"/>
      <c r="H23" s="199"/>
      <c r="I23" s="200"/>
      <c r="J23" s="199"/>
      <c r="K23" s="195"/>
      <c r="L23" s="195"/>
      <c r="M23" s="588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7.1" customHeight="1" hidden="1" spans="1:25" x14ac:dyDescent="0.25">
      <c r="A24" s="579"/>
      <c r="B24" s="195"/>
      <c r="C24" s="195"/>
      <c r="D24" s="580"/>
      <c r="E24" s="581"/>
      <c r="F24" s="582"/>
      <c r="G24" s="195"/>
      <c r="H24" s="199"/>
      <c r="I24" s="200"/>
      <c r="J24" s="199"/>
      <c r="K24" s="195"/>
      <c r="L24" s="195"/>
      <c r="M24" s="588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7.1" customHeight="1" spans="1:25" x14ac:dyDescent="0.25">
      <c r="A25" s="245"/>
      <c r="B25" s="23"/>
      <c r="C25" s="23"/>
      <c r="D25" s="246" t="s">
        <v>55</v>
      </c>
      <c r="E25" s="247"/>
      <c r="F25" s="248"/>
      <c r="G25" s="249" t="s">
        <v>56</v>
      </c>
      <c r="H25" s="250">
        <f>SUM(H11:I24)</f>
        <v>293</v>
      </c>
      <c r="I25" s="250"/>
      <c r="J25" s="250">
        <f>SUM(J11:J24)</f>
        <v>293</v>
      </c>
      <c r="K25" s="249" t="s">
        <v>57</v>
      </c>
      <c r="L25" s="249" t="s">
        <v>57</v>
      </c>
      <c r="M25" s="251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7.1" customHeight="1" spans="1:25" x14ac:dyDescent="0.25">
      <c r="A26" s="203"/>
      <c r="B26" s="221"/>
      <c r="C26" s="221"/>
      <c r="D26" s="252"/>
      <c r="E26" s="253"/>
      <c r="F26" s="254"/>
      <c r="G26" s="255"/>
      <c r="H26" s="256"/>
      <c r="I26" s="256"/>
      <c r="J26" s="256"/>
      <c r="K26" s="255"/>
      <c r="L26" s="255"/>
      <c r="M26" s="257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7.1" customHeight="1" spans="1:25" x14ac:dyDescent="0.25">
      <c r="A27" s="203"/>
      <c r="B27" s="157"/>
      <c r="C27" s="152"/>
      <c r="D27" s="252"/>
      <c r="E27" s="253"/>
      <c r="F27" s="254"/>
      <c r="G27" s="255"/>
      <c r="H27" s="258"/>
      <c r="I27" s="259"/>
      <c r="J27" s="256"/>
      <c r="K27" s="255"/>
      <c r="L27" s="255"/>
      <c r="M27" s="257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" customHeight="1" spans="1:25" x14ac:dyDescent="0.25">
      <c r="A28" s="223" t="s">
        <v>58</v>
      </c>
      <c r="B28" s="224"/>
      <c r="C28" s="224"/>
      <c r="D28" s="224"/>
      <c r="E28" s="224"/>
      <c r="F28" s="224"/>
      <c r="G28" s="224"/>
      <c r="H28" s="224"/>
      <c r="I28" s="224"/>
      <c r="J28" s="224"/>
      <c r="K28" s="224"/>
      <c r="L28" s="224"/>
      <c r="M28" s="225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" customHeight="1" spans="1:25" x14ac:dyDescent="0.25">
      <c r="A29" s="226"/>
      <c r="B29" s="227"/>
      <c r="C29" s="3"/>
      <c r="D29" s="3"/>
      <c r="E29" s="3"/>
      <c r="F29" s="3"/>
      <c r="G29" s="3"/>
      <c r="H29" s="3"/>
      <c r="I29" s="3"/>
      <c r="J29" s="3"/>
      <c r="K29" s="3"/>
      <c r="L29" s="3"/>
      <c r="M29" s="228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" customHeight="1" spans="1:25" x14ac:dyDescent="0.25">
      <c r="A30" s="229"/>
      <c r="B30" s="227"/>
      <c r="C30" s="3"/>
      <c r="D30" s="3"/>
      <c r="E30" s="3"/>
      <c r="F30" s="3"/>
      <c r="G30" s="3"/>
      <c r="H30" s="3"/>
      <c r="I30" s="3"/>
      <c r="J30" s="3"/>
      <c r="K30" s="3"/>
      <c r="L30" s="3"/>
      <c r="M30" s="228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" customHeight="1" spans="1:25" x14ac:dyDescent="0.25">
      <c r="A31" s="229"/>
      <c r="B31" s="227"/>
      <c r="C31" s="3"/>
      <c r="D31" s="3"/>
      <c r="E31" s="3"/>
      <c r="F31" s="3"/>
      <c r="G31" s="3"/>
      <c r="H31" s="3"/>
      <c r="I31" s="3"/>
      <c r="J31" s="3"/>
      <c r="K31" s="3"/>
      <c r="L31" s="3"/>
      <c r="M31" s="228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" customHeight="1" spans="1:25" x14ac:dyDescent="0.25">
      <c r="A32" s="229"/>
      <c r="B32" s="227"/>
      <c r="C32" s="3"/>
      <c r="D32" s="3"/>
      <c r="E32" s="3"/>
      <c r="F32" s="3"/>
      <c r="G32" s="3"/>
      <c r="H32" s="3"/>
      <c r="I32" s="3"/>
      <c r="J32" s="3"/>
      <c r="K32" s="3"/>
      <c r="L32" s="3"/>
      <c r="M32" s="228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" customHeight="1" spans="1:25" x14ac:dyDescent="0.25">
      <c r="A33" s="229"/>
      <c r="B33" s="227"/>
      <c r="C33" s="3"/>
      <c r="D33" s="3"/>
      <c r="E33" s="3"/>
      <c r="F33" s="3"/>
      <c r="G33" s="3"/>
      <c r="H33" s="3"/>
      <c r="I33" s="3"/>
      <c r="J33" s="3"/>
      <c r="K33" s="3"/>
      <c r="L33" s="3"/>
      <c r="M33" s="228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" customHeight="1" spans="1:25" x14ac:dyDescent="0.25">
      <c r="A34" s="229"/>
      <c r="B34" s="231"/>
      <c r="C34" s="231"/>
      <c r="D34" s="231"/>
      <c r="E34" s="231"/>
      <c r="F34" s="231"/>
      <c r="G34" s="231"/>
      <c r="H34" s="231"/>
      <c r="I34" s="231"/>
      <c r="J34" s="231"/>
      <c r="K34" s="231"/>
      <c r="L34" s="231"/>
      <c r="M34" s="232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" customHeight="1" spans="1:25" x14ac:dyDescent="0.25">
      <c r="A35" s="260"/>
      <c r="B35" s="261"/>
      <c r="C35" s="261"/>
      <c r="D35" s="261"/>
      <c r="E35" s="261"/>
      <c r="F35" s="261"/>
      <c r="G35" s="261"/>
      <c r="H35" s="261"/>
      <c r="I35" s="261"/>
      <c r="J35" s="261"/>
      <c r="K35" s="261"/>
      <c r="L35" s="261"/>
      <c r="M35" s="261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5" customHeight="1" spans="1:2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5" customHeight="1" spans="1:25" x14ac:dyDescent="0.25">
      <c r="A37" s="170"/>
      <c r="B37" s="170"/>
      <c r="C37" s="170"/>
      <c r="D37" s="3"/>
      <c r="E37" s="3"/>
      <c r="F37" s="3"/>
      <c r="G37" s="170"/>
      <c r="H37" s="170"/>
      <c r="I37" s="170"/>
      <c r="J37" s="3"/>
      <c r="K37" s="3"/>
      <c r="L37" s="170"/>
      <c r="M37" s="170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" customHeight="1" spans="1:25" x14ac:dyDescent="0.25">
      <c r="A38" s="171" t="s">
        <v>23</v>
      </c>
      <c r="B38" s="171"/>
      <c r="C38" s="171"/>
      <c r="D38" s="3"/>
      <c r="E38" s="3"/>
      <c r="F38" s="3"/>
      <c r="G38" s="171" t="s">
        <v>59</v>
      </c>
      <c r="H38" s="171"/>
      <c r="I38" s="171"/>
      <c r="J38" s="3"/>
      <c r="K38" s="3"/>
      <c r="L38" s="171" t="s">
        <v>24</v>
      </c>
      <c r="M38" s="171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</sheetData>
  <mergeCells count="34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25:C25"/>
    <mergeCell ref="D25:F25"/>
    <mergeCell ref="H25:I25"/>
    <mergeCell ref="B26:C26"/>
    <mergeCell ref="D26:F26"/>
    <mergeCell ref="H26:I26"/>
    <mergeCell ref="B27:C27"/>
    <mergeCell ref="D27:F27"/>
    <mergeCell ref="H27:I27"/>
    <mergeCell ref="A28:M28"/>
    <mergeCell ref="B29:M29"/>
    <mergeCell ref="B30:M30"/>
    <mergeCell ref="B31:M31"/>
    <mergeCell ref="B32:M32"/>
    <mergeCell ref="B33:M33"/>
    <mergeCell ref="B34:M34"/>
    <mergeCell ref="A38:C38"/>
    <mergeCell ref="G38:I38"/>
    <mergeCell ref="L38:M38"/>
  </mergeCells>
  <pageMargins left="0.39" right="0.37" top="0.2" bottom="0.179986" header="0.16" footer="0.16"/>
  <pageSetup paperSize="9" orientation="landscape" horizontalDpi="4294967295" verticalDpi="4294967295" scale="100" fitToWidth="0" fitToHeight="1" firstPageNumber="1" useFirstPageNumber="1" copies="1"/>
</worksheet>
</file>

<file path=xl/worksheets/sheet19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theme="1" tint="0.499954222235786"/>
  </sheetPr>
  <dimension ref="A1:AJ83"/>
  <sheetViews>
    <sheetView workbookViewId="0" zoomScale="100" zoomScaleNormal="100">
      <selection activeCell="A4" sqref="A4"/>
    </sheetView>
  </sheetViews>
  <sheetFormatPr defaultRowHeight="17.4" outlineLevelRow="0" outlineLevelCol="0" x14ac:dyDescent="0" customHeight="1"/>
  <cols>
    <col min="1" max="2" width="2.5" style="9" customWidth="1"/>
    <col min="3" max="3" width="2.3984375" style="9" customWidth="1"/>
    <col min="4" max="32" width="2.5" style="9" customWidth="1"/>
    <col min="33" max="33" width="1.59765625" style="9" customWidth="1"/>
    <col min="34" max="35" width="2.59765625" style="9" customWidth="1"/>
    <col min="36" max="36" width="5.09765625" style="9" customWidth="1"/>
    <col min="37" max="256" width="9" style="9" customWidth="1"/>
    <col min="257" max="258" width="2.5" style="9" customWidth="1"/>
    <col min="259" max="259" width="2.3984375" style="9" customWidth="1"/>
    <col min="260" max="288" width="2.5" style="9" customWidth="1"/>
    <col min="289" max="289" width="1.59765625" style="9" customWidth="1"/>
    <col min="290" max="291" width="2.59765625" style="9" customWidth="1"/>
    <col min="292" max="292" width="3.8984375" style="9" customWidth="1"/>
    <col min="293" max="512" width="9" style="9" customWidth="1"/>
    <col min="513" max="514" width="2.5" style="9" customWidth="1"/>
    <col min="515" max="515" width="2.3984375" style="9" customWidth="1"/>
    <col min="516" max="544" width="2.5" style="9" customWidth="1"/>
    <col min="545" max="545" width="1.59765625" style="9" customWidth="1"/>
    <col min="546" max="547" width="2.59765625" style="9" customWidth="1"/>
    <col min="548" max="548" width="3.8984375" style="9" customWidth="1"/>
    <col min="549" max="768" width="9" style="9" customWidth="1"/>
    <col min="769" max="770" width="2.5" style="9" customWidth="1"/>
    <col min="771" max="771" width="2.3984375" style="9" customWidth="1"/>
    <col min="772" max="800" width="2.5" style="9" customWidth="1"/>
    <col min="801" max="801" width="1.59765625" style="9" customWidth="1"/>
    <col min="802" max="803" width="2.59765625" style="9" customWidth="1"/>
    <col min="804" max="804" width="3.8984375" style="9" customWidth="1"/>
    <col min="805" max="1024" width="9" style="9" customWidth="1"/>
    <col min="1025" max="1026" width="2.5" style="9" customWidth="1"/>
    <col min="1027" max="1027" width="2.3984375" style="9" customWidth="1"/>
    <col min="1028" max="1056" width="2.5" style="9" customWidth="1"/>
    <col min="1057" max="1057" width="1.59765625" style="9" customWidth="1"/>
    <col min="1058" max="1059" width="2.59765625" style="9" customWidth="1"/>
    <col min="1060" max="1060" width="3.8984375" style="9" customWidth="1"/>
    <col min="1061" max="1280" width="9" style="9" customWidth="1"/>
    <col min="1281" max="1282" width="2.5" style="9" customWidth="1"/>
    <col min="1283" max="1283" width="2.3984375" style="9" customWidth="1"/>
    <col min="1284" max="1312" width="2.5" style="9" customWidth="1"/>
    <col min="1313" max="1313" width="1.59765625" style="9" customWidth="1"/>
    <col min="1314" max="1315" width="2.59765625" style="9" customWidth="1"/>
    <col min="1316" max="1316" width="3.8984375" style="9" customWidth="1"/>
    <col min="1317" max="1536" width="9" style="9" customWidth="1"/>
    <col min="1537" max="1538" width="2.5" style="9" customWidth="1"/>
    <col min="1539" max="1539" width="2.3984375" style="9" customWidth="1"/>
    <col min="1540" max="1568" width="2.5" style="9" customWidth="1"/>
    <col min="1569" max="1569" width="1.59765625" style="9" customWidth="1"/>
    <col min="1570" max="1571" width="2.59765625" style="9" customWidth="1"/>
    <col min="1572" max="1572" width="3.8984375" style="9" customWidth="1"/>
    <col min="1573" max="1792" width="9" style="9" customWidth="1"/>
    <col min="1793" max="1794" width="2.5" style="9" customWidth="1"/>
    <col min="1795" max="1795" width="2.3984375" style="9" customWidth="1"/>
    <col min="1796" max="1824" width="2.5" style="9" customWidth="1"/>
    <col min="1825" max="1825" width="1.59765625" style="9" customWidth="1"/>
    <col min="1826" max="1827" width="2.59765625" style="9" customWidth="1"/>
    <col min="1828" max="1828" width="3.8984375" style="9" customWidth="1"/>
    <col min="1829" max="2048" width="9" style="9" customWidth="1"/>
    <col min="2049" max="2050" width="2.5" style="9" customWidth="1"/>
    <col min="2051" max="2051" width="2.3984375" style="9" customWidth="1"/>
    <col min="2052" max="2080" width="2.5" style="9" customWidth="1"/>
    <col min="2081" max="2081" width="1.59765625" style="9" customWidth="1"/>
    <col min="2082" max="2083" width="2.59765625" style="9" customWidth="1"/>
    <col min="2084" max="2084" width="3.8984375" style="9" customWidth="1"/>
    <col min="2085" max="2304" width="9" style="9" customWidth="1"/>
    <col min="2305" max="2306" width="2.5" style="9" customWidth="1"/>
    <col min="2307" max="2307" width="2.3984375" style="9" customWidth="1"/>
    <col min="2308" max="2336" width="2.5" style="9" customWidth="1"/>
    <col min="2337" max="2337" width="1.59765625" style="9" customWidth="1"/>
    <col min="2338" max="2339" width="2.59765625" style="9" customWidth="1"/>
    <col min="2340" max="2340" width="3.8984375" style="9" customWidth="1"/>
    <col min="2341" max="2560" width="9" style="9" customWidth="1"/>
    <col min="2561" max="2562" width="2.5" style="9" customWidth="1"/>
    <col min="2563" max="2563" width="2.3984375" style="9" customWidth="1"/>
    <col min="2564" max="2592" width="2.5" style="9" customWidth="1"/>
    <col min="2593" max="2593" width="1.59765625" style="9" customWidth="1"/>
    <col min="2594" max="2595" width="2.59765625" style="9" customWidth="1"/>
    <col min="2596" max="2596" width="3.8984375" style="9" customWidth="1"/>
    <col min="2597" max="2816" width="9" style="9" customWidth="1"/>
    <col min="2817" max="2818" width="2.5" style="9" customWidth="1"/>
    <col min="2819" max="2819" width="2.3984375" style="9" customWidth="1"/>
    <col min="2820" max="2848" width="2.5" style="9" customWidth="1"/>
    <col min="2849" max="2849" width="1.59765625" style="9" customWidth="1"/>
    <col min="2850" max="2851" width="2.59765625" style="9" customWidth="1"/>
    <col min="2852" max="2852" width="3.8984375" style="9" customWidth="1"/>
    <col min="2853" max="3072" width="9" style="9" customWidth="1"/>
    <col min="3073" max="3074" width="2.5" style="9" customWidth="1"/>
    <col min="3075" max="3075" width="2.3984375" style="9" customWidth="1"/>
    <col min="3076" max="3104" width="2.5" style="9" customWidth="1"/>
    <col min="3105" max="3105" width="1.59765625" style="9" customWidth="1"/>
    <col min="3106" max="3107" width="2.59765625" style="9" customWidth="1"/>
    <col min="3108" max="3108" width="3.8984375" style="9" customWidth="1"/>
    <col min="3109" max="3328" width="9" style="9" customWidth="1"/>
    <col min="3329" max="3330" width="2.5" style="9" customWidth="1"/>
    <col min="3331" max="3331" width="2.3984375" style="9" customWidth="1"/>
    <col min="3332" max="3360" width="2.5" style="9" customWidth="1"/>
    <col min="3361" max="3361" width="1.59765625" style="9" customWidth="1"/>
    <col min="3362" max="3363" width="2.59765625" style="9" customWidth="1"/>
    <col min="3364" max="3364" width="3.8984375" style="9" customWidth="1"/>
    <col min="3365" max="3584" width="9" style="9" customWidth="1"/>
    <col min="3585" max="3586" width="2.5" style="9" customWidth="1"/>
    <col min="3587" max="3587" width="2.3984375" style="9" customWidth="1"/>
    <col min="3588" max="3616" width="2.5" style="9" customWidth="1"/>
    <col min="3617" max="3617" width="1.59765625" style="9" customWidth="1"/>
    <col min="3618" max="3619" width="2.59765625" style="9" customWidth="1"/>
    <col min="3620" max="3620" width="3.8984375" style="9" customWidth="1"/>
    <col min="3621" max="3840" width="9" style="9" customWidth="1"/>
    <col min="3841" max="3842" width="2.5" style="9" customWidth="1"/>
    <col min="3843" max="3843" width="2.3984375" style="9" customWidth="1"/>
    <col min="3844" max="3872" width="2.5" style="9" customWidth="1"/>
    <col min="3873" max="3873" width="1.59765625" style="9" customWidth="1"/>
    <col min="3874" max="3875" width="2.59765625" style="9" customWidth="1"/>
    <col min="3876" max="3876" width="3.8984375" style="9" customWidth="1"/>
    <col min="3877" max="4096" width="9" style="9" customWidth="1"/>
    <col min="4097" max="4098" width="2.5" style="9" customWidth="1"/>
    <col min="4099" max="4099" width="2.3984375" style="9" customWidth="1"/>
    <col min="4100" max="4128" width="2.5" style="9" customWidth="1"/>
    <col min="4129" max="4129" width="1.59765625" style="9" customWidth="1"/>
    <col min="4130" max="4131" width="2.59765625" style="9" customWidth="1"/>
    <col min="4132" max="4132" width="3.8984375" style="9" customWidth="1"/>
    <col min="4133" max="4352" width="9" style="9" customWidth="1"/>
    <col min="4353" max="4354" width="2.5" style="9" customWidth="1"/>
    <col min="4355" max="4355" width="2.3984375" style="9" customWidth="1"/>
    <col min="4356" max="4384" width="2.5" style="9" customWidth="1"/>
    <col min="4385" max="4385" width="1.59765625" style="9" customWidth="1"/>
    <col min="4386" max="4387" width="2.59765625" style="9" customWidth="1"/>
    <col min="4388" max="4388" width="3.8984375" style="9" customWidth="1"/>
    <col min="4389" max="4608" width="9" style="9" customWidth="1"/>
    <col min="4609" max="4610" width="2.5" style="9" customWidth="1"/>
    <col min="4611" max="4611" width="2.3984375" style="9" customWidth="1"/>
    <col min="4612" max="4640" width="2.5" style="9" customWidth="1"/>
    <col min="4641" max="4641" width="1.59765625" style="9" customWidth="1"/>
    <col min="4642" max="4643" width="2.59765625" style="9" customWidth="1"/>
    <col min="4644" max="4644" width="3.8984375" style="9" customWidth="1"/>
    <col min="4645" max="4864" width="9" style="9" customWidth="1"/>
    <col min="4865" max="4866" width="2.5" style="9" customWidth="1"/>
    <col min="4867" max="4867" width="2.3984375" style="9" customWidth="1"/>
    <col min="4868" max="4896" width="2.5" style="9" customWidth="1"/>
    <col min="4897" max="4897" width="1.59765625" style="9" customWidth="1"/>
    <col min="4898" max="4899" width="2.59765625" style="9" customWidth="1"/>
    <col min="4900" max="4900" width="3.8984375" style="9" customWidth="1"/>
    <col min="4901" max="5120" width="9" style="9" customWidth="1"/>
    <col min="5121" max="5122" width="2.5" style="9" customWidth="1"/>
    <col min="5123" max="5123" width="2.3984375" style="9" customWidth="1"/>
    <col min="5124" max="5152" width="2.5" style="9" customWidth="1"/>
    <col min="5153" max="5153" width="1.59765625" style="9" customWidth="1"/>
    <col min="5154" max="5155" width="2.59765625" style="9" customWidth="1"/>
    <col min="5156" max="5156" width="3.8984375" style="9" customWidth="1"/>
    <col min="5157" max="5376" width="9" style="9" customWidth="1"/>
    <col min="5377" max="5378" width="2.5" style="9" customWidth="1"/>
    <col min="5379" max="5379" width="2.3984375" style="9" customWidth="1"/>
    <col min="5380" max="5408" width="2.5" style="9" customWidth="1"/>
    <col min="5409" max="5409" width="1.59765625" style="9" customWidth="1"/>
    <col min="5410" max="5411" width="2.59765625" style="9" customWidth="1"/>
    <col min="5412" max="5412" width="3.8984375" style="9" customWidth="1"/>
    <col min="5413" max="5632" width="9" style="9" customWidth="1"/>
    <col min="5633" max="5634" width="2.5" style="9" customWidth="1"/>
    <col min="5635" max="5635" width="2.3984375" style="9" customWidth="1"/>
    <col min="5636" max="5664" width="2.5" style="9" customWidth="1"/>
    <col min="5665" max="5665" width="1.59765625" style="9" customWidth="1"/>
    <col min="5666" max="5667" width="2.59765625" style="9" customWidth="1"/>
    <col min="5668" max="5668" width="3.8984375" style="9" customWidth="1"/>
    <col min="5669" max="5888" width="9" style="9" customWidth="1"/>
    <col min="5889" max="5890" width="2.5" style="9" customWidth="1"/>
    <col min="5891" max="5891" width="2.3984375" style="9" customWidth="1"/>
    <col min="5892" max="5920" width="2.5" style="9" customWidth="1"/>
    <col min="5921" max="5921" width="1.59765625" style="9" customWidth="1"/>
    <col min="5922" max="5923" width="2.59765625" style="9" customWidth="1"/>
    <col min="5924" max="5924" width="3.8984375" style="9" customWidth="1"/>
    <col min="5925" max="6144" width="9" style="9" customWidth="1"/>
    <col min="6145" max="6146" width="2.5" style="9" customWidth="1"/>
    <col min="6147" max="6147" width="2.3984375" style="9" customWidth="1"/>
    <col min="6148" max="6176" width="2.5" style="9" customWidth="1"/>
    <col min="6177" max="6177" width="1.59765625" style="9" customWidth="1"/>
    <col min="6178" max="6179" width="2.59765625" style="9" customWidth="1"/>
    <col min="6180" max="6180" width="3.8984375" style="9" customWidth="1"/>
    <col min="6181" max="6400" width="9" style="9" customWidth="1"/>
    <col min="6401" max="6402" width="2.5" style="9" customWidth="1"/>
    <col min="6403" max="6403" width="2.3984375" style="9" customWidth="1"/>
    <col min="6404" max="6432" width="2.5" style="9" customWidth="1"/>
    <col min="6433" max="6433" width="1.59765625" style="9" customWidth="1"/>
    <col min="6434" max="6435" width="2.59765625" style="9" customWidth="1"/>
    <col min="6436" max="6436" width="3.8984375" style="9" customWidth="1"/>
    <col min="6437" max="6656" width="9" style="9" customWidth="1"/>
    <col min="6657" max="6658" width="2.5" style="9" customWidth="1"/>
    <col min="6659" max="6659" width="2.3984375" style="9" customWidth="1"/>
    <col min="6660" max="6688" width="2.5" style="9" customWidth="1"/>
    <col min="6689" max="6689" width="1.59765625" style="9" customWidth="1"/>
    <col min="6690" max="6691" width="2.59765625" style="9" customWidth="1"/>
    <col min="6692" max="6692" width="3.8984375" style="9" customWidth="1"/>
    <col min="6693" max="6912" width="9" style="9" customWidth="1"/>
    <col min="6913" max="6914" width="2.5" style="9" customWidth="1"/>
    <col min="6915" max="6915" width="2.3984375" style="9" customWidth="1"/>
    <col min="6916" max="6944" width="2.5" style="9" customWidth="1"/>
    <col min="6945" max="6945" width="1.59765625" style="9" customWidth="1"/>
    <col min="6946" max="6947" width="2.59765625" style="9" customWidth="1"/>
    <col min="6948" max="6948" width="3.8984375" style="9" customWidth="1"/>
    <col min="6949" max="7168" width="9" style="9" customWidth="1"/>
    <col min="7169" max="7170" width="2.5" style="9" customWidth="1"/>
    <col min="7171" max="7171" width="2.3984375" style="9" customWidth="1"/>
    <col min="7172" max="7200" width="2.5" style="9" customWidth="1"/>
    <col min="7201" max="7201" width="1.59765625" style="9" customWidth="1"/>
    <col min="7202" max="7203" width="2.59765625" style="9" customWidth="1"/>
    <col min="7204" max="7204" width="3.8984375" style="9" customWidth="1"/>
    <col min="7205" max="7424" width="9" style="9" customWidth="1"/>
    <col min="7425" max="7426" width="2.5" style="9" customWidth="1"/>
    <col min="7427" max="7427" width="2.3984375" style="9" customWidth="1"/>
    <col min="7428" max="7456" width="2.5" style="9" customWidth="1"/>
    <col min="7457" max="7457" width="1.59765625" style="9" customWidth="1"/>
    <col min="7458" max="7459" width="2.59765625" style="9" customWidth="1"/>
    <col min="7460" max="7460" width="3.8984375" style="9" customWidth="1"/>
    <col min="7461" max="7680" width="9" style="9" customWidth="1"/>
    <col min="7681" max="7682" width="2.5" style="9" customWidth="1"/>
    <col min="7683" max="7683" width="2.3984375" style="9" customWidth="1"/>
    <col min="7684" max="7712" width="2.5" style="9" customWidth="1"/>
    <col min="7713" max="7713" width="1.59765625" style="9" customWidth="1"/>
    <col min="7714" max="7715" width="2.59765625" style="9" customWidth="1"/>
    <col min="7716" max="7716" width="3.8984375" style="9" customWidth="1"/>
    <col min="7717" max="7936" width="9" style="9" customWidth="1"/>
    <col min="7937" max="7938" width="2.5" style="9" customWidth="1"/>
    <col min="7939" max="7939" width="2.3984375" style="9" customWidth="1"/>
    <col min="7940" max="7968" width="2.5" style="9" customWidth="1"/>
    <col min="7969" max="7969" width="1.59765625" style="9" customWidth="1"/>
    <col min="7970" max="7971" width="2.59765625" style="9" customWidth="1"/>
    <col min="7972" max="7972" width="3.8984375" style="9" customWidth="1"/>
    <col min="7973" max="8192" width="9" style="9" customWidth="1"/>
    <col min="8193" max="8194" width="2.5" style="9" customWidth="1"/>
    <col min="8195" max="8195" width="2.3984375" style="9" customWidth="1"/>
    <col min="8196" max="8224" width="2.5" style="9" customWidth="1"/>
    <col min="8225" max="8225" width="1.59765625" style="9" customWidth="1"/>
    <col min="8226" max="8227" width="2.59765625" style="9" customWidth="1"/>
    <col min="8228" max="8228" width="3.8984375" style="9" customWidth="1"/>
    <col min="8229" max="8448" width="9" style="9" customWidth="1"/>
    <col min="8449" max="8450" width="2.5" style="9" customWidth="1"/>
    <col min="8451" max="8451" width="2.3984375" style="9" customWidth="1"/>
    <col min="8452" max="8480" width="2.5" style="9" customWidth="1"/>
    <col min="8481" max="8481" width="1.59765625" style="9" customWidth="1"/>
    <col min="8482" max="8483" width="2.59765625" style="9" customWidth="1"/>
    <col min="8484" max="8484" width="3.8984375" style="9" customWidth="1"/>
    <col min="8485" max="8704" width="9" style="9" customWidth="1"/>
    <col min="8705" max="8706" width="2.5" style="9" customWidth="1"/>
    <col min="8707" max="8707" width="2.3984375" style="9" customWidth="1"/>
    <col min="8708" max="8736" width="2.5" style="9" customWidth="1"/>
    <col min="8737" max="8737" width="1.59765625" style="9" customWidth="1"/>
    <col min="8738" max="8739" width="2.59765625" style="9" customWidth="1"/>
    <col min="8740" max="8740" width="3.8984375" style="9" customWidth="1"/>
    <col min="8741" max="8960" width="9" style="9" customWidth="1"/>
    <col min="8961" max="8962" width="2.5" style="9" customWidth="1"/>
    <col min="8963" max="8963" width="2.3984375" style="9" customWidth="1"/>
    <col min="8964" max="8992" width="2.5" style="9" customWidth="1"/>
    <col min="8993" max="8993" width="1.59765625" style="9" customWidth="1"/>
    <col min="8994" max="8995" width="2.59765625" style="9" customWidth="1"/>
    <col min="8996" max="8996" width="3.8984375" style="9" customWidth="1"/>
    <col min="8997" max="9216" width="9" style="9" customWidth="1"/>
    <col min="9217" max="9218" width="2.5" style="9" customWidth="1"/>
    <col min="9219" max="9219" width="2.3984375" style="9" customWidth="1"/>
    <col min="9220" max="9248" width="2.5" style="9" customWidth="1"/>
    <col min="9249" max="9249" width="1.59765625" style="9" customWidth="1"/>
    <col min="9250" max="9251" width="2.59765625" style="9" customWidth="1"/>
    <col min="9252" max="9252" width="3.8984375" style="9" customWidth="1"/>
    <col min="9253" max="9472" width="9" style="9" customWidth="1"/>
    <col min="9473" max="9474" width="2.5" style="9" customWidth="1"/>
    <col min="9475" max="9475" width="2.3984375" style="9" customWidth="1"/>
    <col min="9476" max="9504" width="2.5" style="9" customWidth="1"/>
    <col min="9505" max="9505" width="1.59765625" style="9" customWidth="1"/>
    <col min="9506" max="9507" width="2.59765625" style="9" customWidth="1"/>
    <col min="9508" max="9508" width="3.8984375" style="9" customWidth="1"/>
    <col min="9509" max="9728" width="9" style="9" customWidth="1"/>
    <col min="9729" max="9730" width="2.5" style="9" customWidth="1"/>
    <col min="9731" max="9731" width="2.3984375" style="9" customWidth="1"/>
    <col min="9732" max="9760" width="2.5" style="9" customWidth="1"/>
    <col min="9761" max="9761" width="1.59765625" style="9" customWidth="1"/>
    <col min="9762" max="9763" width="2.59765625" style="9" customWidth="1"/>
    <col min="9764" max="9764" width="3.8984375" style="9" customWidth="1"/>
    <col min="9765" max="9984" width="9" style="9" customWidth="1"/>
    <col min="9985" max="9986" width="2.5" style="9" customWidth="1"/>
    <col min="9987" max="9987" width="2.3984375" style="9" customWidth="1"/>
    <col min="9988" max="10016" width="2.5" style="9" customWidth="1"/>
    <col min="10017" max="10017" width="1.59765625" style="9" customWidth="1"/>
    <col min="10018" max="10019" width="2.59765625" style="9" customWidth="1"/>
    <col min="10020" max="10020" width="3.8984375" style="9" customWidth="1"/>
    <col min="10021" max="10240" width="9" style="9" customWidth="1"/>
    <col min="10241" max="10242" width="2.5" style="9" customWidth="1"/>
    <col min="10243" max="10243" width="2.3984375" style="9" customWidth="1"/>
    <col min="10244" max="10272" width="2.5" style="9" customWidth="1"/>
    <col min="10273" max="10273" width="1.59765625" style="9" customWidth="1"/>
    <col min="10274" max="10275" width="2.59765625" style="9" customWidth="1"/>
    <col min="10276" max="10276" width="3.8984375" style="9" customWidth="1"/>
    <col min="10277" max="10496" width="9" style="9" customWidth="1"/>
    <col min="10497" max="10498" width="2.5" style="9" customWidth="1"/>
    <col min="10499" max="10499" width="2.3984375" style="9" customWidth="1"/>
    <col min="10500" max="10528" width="2.5" style="9" customWidth="1"/>
    <col min="10529" max="10529" width="1.59765625" style="9" customWidth="1"/>
    <col min="10530" max="10531" width="2.59765625" style="9" customWidth="1"/>
    <col min="10532" max="10532" width="3.8984375" style="9" customWidth="1"/>
    <col min="10533" max="10752" width="9" style="9" customWidth="1"/>
    <col min="10753" max="10754" width="2.5" style="9" customWidth="1"/>
    <col min="10755" max="10755" width="2.3984375" style="9" customWidth="1"/>
    <col min="10756" max="10784" width="2.5" style="9" customWidth="1"/>
    <col min="10785" max="10785" width="1.59765625" style="9" customWidth="1"/>
    <col min="10786" max="10787" width="2.59765625" style="9" customWidth="1"/>
    <col min="10788" max="10788" width="3.8984375" style="9" customWidth="1"/>
    <col min="10789" max="11008" width="9" style="9" customWidth="1"/>
    <col min="11009" max="11010" width="2.5" style="9" customWidth="1"/>
    <col min="11011" max="11011" width="2.3984375" style="9" customWidth="1"/>
    <col min="11012" max="11040" width="2.5" style="9" customWidth="1"/>
    <col min="11041" max="11041" width="1.59765625" style="9" customWidth="1"/>
    <col min="11042" max="11043" width="2.59765625" style="9" customWidth="1"/>
    <col min="11044" max="11044" width="3.8984375" style="9" customWidth="1"/>
    <col min="11045" max="11264" width="9" style="9" customWidth="1"/>
    <col min="11265" max="11266" width="2.5" style="9" customWidth="1"/>
    <col min="11267" max="11267" width="2.3984375" style="9" customWidth="1"/>
    <col min="11268" max="11296" width="2.5" style="9" customWidth="1"/>
    <col min="11297" max="11297" width="1.59765625" style="9" customWidth="1"/>
    <col min="11298" max="11299" width="2.59765625" style="9" customWidth="1"/>
    <col min="11300" max="11300" width="3.8984375" style="9" customWidth="1"/>
    <col min="11301" max="11520" width="9" style="9" customWidth="1"/>
    <col min="11521" max="11522" width="2.5" style="9" customWidth="1"/>
    <col min="11523" max="11523" width="2.3984375" style="9" customWidth="1"/>
    <col min="11524" max="11552" width="2.5" style="9" customWidth="1"/>
    <col min="11553" max="11553" width="1.59765625" style="9" customWidth="1"/>
    <col min="11554" max="11555" width="2.59765625" style="9" customWidth="1"/>
    <col min="11556" max="11556" width="3.8984375" style="9" customWidth="1"/>
    <col min="11557" max="11776" width="9" style="9" customWidth="1"/>
    <col min="11777" max="11778" width="2.5" style="9" customWidth="1"/>
    <col min="11779" max="11779" width="2.3984375" style="9" customWidth="1"/>
    <col min="11780" max="11808" width="2.5" style="9" customWidth="1"/>
    <col min="11809" max="11809" width="1.59765625" style="9" customWidth="1"/>
    <col min="11810" max="11811" width="2.59765625" style="9" customWidth="1"/>
    <col min="11812" max="11812" width="3.8984375" style="9" customWidth="1"/>
    <col min="11813" max="12032" width="9" style="9" customWidth="1"/>
    <col min="12033" max="12034" width="2.5" style="9" customWidth="1"/>
    <col min="12035" max="12035" width="2.3984375" style="9" customWidth="1"/>
    <col min="12036" max="12064" width="2.5" style="9" customWidth="1"/>
    <col min="12065" max="12065" width="1.59765625" style="9" customWidth="1"/>
    <col min="12066" max="12067" width="2.59765625" style="9" customWidth="1"/>
    <col min="12068" max="12068" width="3.8984375" style="9" customWidth="1"/>
    <col min="12069" max="12288" width="9" style="9" customWidth="1"/>
    <col min="12289" max="12290" width="2.5" style="9" customWidth="1"/>
    <col min="12291" max="12291" width="2.3984375" style="9" customWidth="1"/>
    <col min="12292" max="12320" width="2.5" style="9" customWidth="1"/>
    <col min="12321" max="12321" width="1.59765625" style="9" customWidth="1"/>
    <col min="12322" max="12323" width="2.59765625" style="9" customWidth="1"/>
    <col min="12324" max="12324" width="3.8984375" style="9" customWidth="1"/>
    <col min="12325" max="12544" width="9" style="9" customWidth="1"/>
    <col min="12545" max="12546" width="2.5" style="9" customWidth="1"/>
    <col min="12547" max="12547" width="2.3984375" style="9" customWidth="1"/>
    <col min="12548" max="12576" width="2.5" style="9" customWidth="1"/>
    <col min="12577" max="12577" width="1.59765625" style="9" customWidth="1"/>
    <col min="12578" max="12579" width="2.59765625" style="9" customWidth="1"/>
    <col min="12580" max="12580" width="3.8984375" style="9" customWidth="1"/>
    <col min="12581" max="12800" width="9" style="9" customWidth="1"/>
    <col min="12801" max="12802" width="2.5" style="9" customWidth="1"/>
    <col min="12803" max="12803" width="2.3984375" style="9" customWidth="1"/>
    <col min="12804" max="12832" width="2.5" style="9" customWidth="1"/>
    <col min="12833" max="12833" width="1.59765625" style="9" customWidth="1"/>
    <col min="12834" max="12835" width="2.59765625" style="9" customWidth="1"/>
    <col min="12836" max="12836" width="3.8984375" style="9" customWidth="1"/>
    <col min="12837" max="13056" width="9" style="9" customWidth="1"/>
    <col min="13057" max="13058" width="2.5" style="9" customWidth="1"/>
    <col min="13059" max="13059" width="2.3984375" style="9" customWidth="1"/>
    <col min="13060" max="13088" width="2.5" style="9" customWidth="1"/>
    <col min="13089" max="13089" width="1.59765625" style="9" customWidth="1"/>
    <col min="13090" max="13091" width="2.59765625" style="9" customWidth="1"/>
    <col min="13092" max="13092" width="3.8984375" style="9" customWidth="1"/>
    <col min="13093" max="13312" width="9" style="9" customWidth="1"/>
    <col min="13313" max="13314" width="2.5" style="9" customWidth="1"/>
    <col min="13315" max="13315" width="2.3984375" style="9" customWidth="1"/>
    <col min="13316" max="13344" width="2.5" style="9" customWidth="1"/>
    <col min="13345" max="13345" width="1.59765625" style="9" customWidth="1"/>
    <col min="13346" max="13347" width="2.59765625" style="9" customWidth="1"/>
    <col min="13348" max="13348" width="3.8984375" style="9" customWidth="1"/>
    <col min="13349" max="13568" width="9" style="9" customWidth="1"/>
    <col min="13569" max="13570" width="2.5" style="9" customWidth="1"/>
    <col min="13571" max="13571" width="2.3984375" style="9" customWidth="1"/>
    <col min="13572" max="13600" width="2.5" style="9" customWidth="1"/>
    <col min="13601" max="13601" width="1.59765625" style="9" customWidth="1"/>
    <col min="13602" max="13603" width="2.59765625" style="9" customWidth="1"/>
    <col min="13604" max="13604" width="3.8984375" style="9" customWidth="1"/>
    <col min="13605" max="13824" width="9" style="9" customWidth="1"/>
    <col min="13825" max="13826" width="2.5" style="9" customWidth="1"/>
    <col min="13827" max="13827" width="2.3984375" style="9" customWidth="1"/>
    <col min="13828" max="13856" width="2.5" style="9" customWidth="1"/>
    <col min="13857" max="13857" width="1.59765625" style="9" customWidth="1"/>
    <col min="13858" max="13859" width="2.59765625" style="9" customWidth="1"/>
    <col min="13860" max="13860" width="3.8984375" style="9" customWidth="1"/>
    <col min="13861" max="14080" width="9" style="9" customWidth="1"/>
    <col min="14081" max="14082" width="2.5" style="9" customWidth="1"/>
    <col min="14083" max="14083" width="2.3984375" style="9" customWidth="1"/>
    <col min="14084" max="14112" width="2.5" style="9" customWidth="1"/>
    <col min="14113" max="14113" width="1.59765625" style="9" customWidth="1"/>
    <col min="14114" max="14115" width="2.59765625" style="9" customWidth="1"/>
    <col min="14116" max="14116" width="3.8984375" style="9" customWidth="1"/>
    <col min="14117" max="14336" width="9" style="9" customWidth="1"/>
    <col min="14337" max="14338" width="2.5" style="9" customWidth="1"/>
    <col min="14339" max="14339" width="2.3984375" style="9" customWidth="1"/>
    <col min="14340" max="14368" width="2.5" style="9" customWidth="1"/>
    <col min="14369" max="14369" width="1.59765625" style="9" customWidth="1"/>
    <col min="14370" max="14371" width="2.59765625" style="9" customWidth="1"/>
    <col min="14372" max="14372" width="3.8984375" style="9" customWidth="1"/>
    <col min="14373" max="14592" width="9" style="9" customWidth="1"/>
    <col min="14593" max="14594" width="2.5" style="9" customWidth="1"/>
    <col min="14595" max="14595" width="2.3984375" style="9" customWidth="1"/>
    <col min="14596" max="14624" width="2.5" style="9" customWidth="1"/>
    <col min="14625" max="14625" width="1.59765625" style="9" customWidth="1"/>
    <col min="14626" max="14627" width="2.59765625" style="9" customWidth="1"/>
    <col min="14628" max="14628" width="3.8984375" style="9" customWidth="1"/>
    <col min="14629" max="14848" width="9" style="9" customWidth="1"/>
    <col min="14849" max="14850" width="2.5" style="9" customWidth="1"/>
    <col min="14851" max="14851" width="2.3984375" style="9" customWidth="1"/>
    <col min="14852" max="14880" width="2.5" style="9" customWidth="1"/>
    <col min="14881" max="14881" width="1.59765625" style="9" customWidth="1"/>
    <col min="14882" max="14883" width="2.59765625" style="9" customWidth="1"/>
    <col min="14884" max="14884" width="3.8984375" style="9" customWidth="1"/>
    <col min="14885" max="15104" width="9" style="9" customWidth="1"/>
    <col min="15105" max="15106" width="2.5" style="9" customWidth="1"/>
    <col min="15107" max="15107" width="2.3984375" style="9" customWidth="1"/>
    <col min="15108" max="15136" width="2.5" style="9" customWidth="1"/>
    <col min="15137" max="15137" width="1.59765625" style="9" customWidth="1"/>
    <col min="15138" max="15139" width="2.59765625" style="9" customWidth="1"/>
    <col min="15140" max="15140" width="3.8984375" style="9" customWidth="1"/>
    <col min="15141" max="15360" width="9" style="9" customWidth="1"/>
    <col min="15361" max="15362" width="2.5" style="9" customWidth="1"/>
    <col min="15363" max="15363" width="2.3984375" style="9" customWidth="1"/>
    <col min="15364" max="15392" width="2.5" style="9" customWidth="1"/>
    <col min="15393" max="15393" width="1.59765625" style="9" customWidth="1"/>
    <col min="15394" max="15395" width="2.59765625" style="9" customWidth="1"/>
    <col min="15396" max="15396" width="3.8984375" style="9" customWidth="1"/>
    <col min="15397" max="15616" width="9" style="9" customWidth="1"/>
    <col min="15617" max="15618" width="2.5" style="9" customWidth="1"/>
    <col min="15619" max="15619" width="2.3984375" style="9" customWidth="1"/>
    <col min="15620" max="15648" width="2.5" style="9" customWidth="1"/>
    <col min="15649" max="15649" width="1.59765625" style="9" customWidth="1"/>
    <col min="15650" max="15651" width="2.59765625" style="9" customWidth="1"/>
    <col min="15652" max="15652" width="3.8984375" style="9" customWidth="1"/>
    <col min="15653" max="15872" width="9" style="9" customWidth="1"/>
    <col min="15873" max="15874" width="2.5" style="9" customWidth="1"/>
    <col min="15875" max="15875" width="2.3984375" style="9" customWidth="1"/>
    <col min="15876" max="15904" width="2.5" style="9" customWidth="1"/>
    <col min="15905" max="15905" width="1.59765625" style="9" customWidth="1"/>
    <col min="15906" max="15907" width="2.59765625" style="9" customWidth="1"/>
    <col min="15908" max="15908" width="3.8984375" style="9" customWidth="1"/>
    <col min="15909" max="16128" width="9" style="9" customWidth="1"/>
    <col min="16129" max="16130" width="2.5" style="9" customWidth="1"/>
    <col min="16131" max="16131" width="2.3984375" style="9" customWidth="1"/>
    <col min="16132" max="16160" width="2.5" style="9" customWidth="1"/>
    <col min="16161" max="16161" width="1.59765625" style="9" customWidth="1"/>
    <col min="16162" max="16163" width="2.59765625" style="9" customWidth="1"/>
    <col min="16164" max="16164" width="3.8984375" style="9" customWidth="1"/>
    <col min="16165" max="16384" width="9" style="9" customWidth="1"/>
  </cols>
  <sheetData>
    <row r="1" ht="27" customHeight="1" spans="1:36" x14ac:dyDescent="0.25">
      <c r="A1" s="361" t="s">
        <v>141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</row>
    <row r="2" ht="12" customHeight="1" spans="1:36" x14ac:dyDescent="0.25">
      <c r="A2" s="158" t="s">
        <v>26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</row>
    <row r="3" ht="4.5" customHeight="1" spans="1:25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ht="27.6" customHeight="1" spans="1:36" x14ac:dyDescent="0.25">
      <c r="A4" s="174" t="s">
        <v>142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</row>
    <row r="5" ht="6" customHeight="1" spans="1:36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</row>
    <row r="6" ht="13.5" customHeight="1" spans="1:36" s="13" customFormat="1" x14ac:dyDescent="0.25">
      <c r="A6" s="35" t="s">
        <v>143</v>
      </c>
      <c r="B6" s="556"/>
      <c r="C6" s="9"/>
      <c r="D6" s="227" t="s">
        <v>3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227" t="s">
        <v>29</v>
      </c>
      <c r="P6" s="556"/>
      <c r="Q6" s="9"/>
      <c r="R6" s="168" t="s">
        <v>144</v>
      </c>
      <c r="S6" s="13"/>
      <c r="T6" s="13"/>
      <c r="U6" s="13"/>
      <c r="V6" s="13"/>
      <c r="W6" s="13"/>
      <c r="X6" s="9"/>
      <c r="Y6" s="168" t="s">
        <v>5</v>
      </c>
      <c r="Z6" s="13"/>
      <c r="AA6" s="13"/>
      <c r="AB6" s="594">
        <v>46228</v>
      </c>
      <c r="AC6" s="13"/>
      <c r="AD6" s="13"/>
      <c r="AE6" s="13"/>
      <c r="AF6" s="13"/>
      <c r="AG6" s="13"/>
      <c r="AH6" s="13"/>
      <c r="AI6" s="13"/>
      <c r="AJ6" s="13"/>
    </row>
    <row r="7" ht="6" customHeight="1" spans="1:36" s="13" customFormat="1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</row>
    <row r="8" ht="13.5" customHeight="1" spans="1:36" s="13" customFormat="1" x14ac:dyDescent="0.25">
      <c r="A8" s="414" t="s">
        <v>145</v>
      </c>
      <c r="B8" s="556"/>
      <c r="C8" s="9"/>
      <c r="D8" s="415" t="s">
        <v>67</v>
      </c>
      <c r="E8" s="13"/>
      <c r="F8" s="13"/>
      <c r="G8" s="13"/>
      <c r="H8" s="13"/>
      <c r="I8" s="13"/>
      <c r="J8" s="9"/>
      <c r="K8" s="9"/>
      <c r="L8" s="9"/>
      <c r="M8" s="9"/>
      <c r="N8" s="9"/>
      <c r="O8" s="415" t="s">
        <v>7</v>
      </c>
      <c r="P8" s="556"/>
      <c r="Q8" s="9"/>
      <c r="R8" s="416">
        <v>8</v>
      </c>
      <c r="S8" s="13"/>
      <c r="T8" s="13"/>
      <c r="U8" s="13"/>
      <c r="V8" s="13"/>
      <c r="W8" s="13"/>
      <c r="X8" s="9"/>
      <c r="Y8" s="416" t="s">
        <v>146</v>
      </c>
      <c r="Z8" s="13"/>
      <c r="AA8" s="13"/>
      <c r="AB8" s="595" t="s">
        <v>26</v>
      </c>
      <c r="AC8" s="13"/>
      <c r="AD8" s="13"/>
      <c r="AE8" s="13"/>
      <c r="AF8" s="13"/>
      <c r="AG8" s="13"/>
      <c r="AH8" s="13"/>
      <c r="AI8" s="13"/>
      <c r="AJ8" s="13"/>
    </row>
    <row r="9" ht="4.5" customHeight="1" spans="1:36" x14ac:dyDescent="0.25">
      <c r="A9" s="417"/>
      <c r="B9" s="417"/>
      <c r="C9" s="417"/>
      <c r="D9" s="417"/>
      <c r="E9" s="417"/>
      <c r="F9" s="417"/>
      <c r="G9" s="417"/>
      <c r="H9" s="417"/>
      <c r="I9" s="417"/>
      <c r="J9" s="417"/>
      <c r="K9" s="417"/>
      <c r="L9" s="417"/>
      <c r="M9" s="417"/>
      <c r="N9" s="417"/>
      <c r="O9" s="417"/>
      <c r="P9" s="417"/>
      <c r="Q9" s="417"/>
      <c r="R9" s="417"/>
      <c r="S9" s="417"/>
      <c r="T9" s="417"/>
      <c r="U9" s="417"/>
      <c r="V9" s="417"/>
      <c r="W9" s="417"/>
      <c r="X9" s="417"/>
      <c r="Y9" s="417"/>
      <c r="Z9" s="417"/>
      <c r="AA9" s="417"/>
      <c r="AB9" s="417"/>
      <c r="AC9" s="417"/>
      <c r="AD9" s="417"/>
      <c r="AE9" s="417"/>
      <c r="AF9" s="417"/>
      <c r="AG9" s="417"/>
      <c r="AH9" s="417"/>
      <c r="AI9" s="417"/>
      <c r="AJ9" s="417"/>
    </row>
    <row r="10" ht="17.1" customHeight="1" spans="1:36" s="35" customFormat="1" x14ac:dyDescent="0.25">
      <c r="A10" s="418" t="s">
        <v>147</v>
      </c>
      <c r="B10" s="419"/>
      <c r="C10" s="419"/>
      <c r="D10" s="419"/>
      <c r="E10" s="419"/>
      <c r="F10" s="419"/>
      <c r="G10" s="419"/>
      <c r="H10" s="292" t="s">
        <v>96</v>
      </c>
      <c r="I10" s="23"/>
      <c r="J10" s="23"/>
      <c r="K10" s="23"/>
      <c r="L10" s="23"/>
      <c r="M10" s="23"/>
      <c r="N10" s="23"/>
      <c r="O10" s="25"/>
      <c r="P10" s="292" t="s">
        <v>95</v>
      </c>
      <c r="Q10" s="23"/>
      <c r="R10" s="23"/>
      <c r="S10" s="23"/>
      <c r="T10" s="23"/>
      <c r="U10" s="23"/>
      <c r="V10" s="23"/>
      <c r="W10" s="25"/>
      <c r="X10" s="22" t="s">
        <v>98</v>
      </c>
      <c r="Y10" s="23"/>
      <c r="Z10" s="25"/>
      <c r="AA10" s="22" t="s">
        <v>53</v>
      </c>
      <c r="AB10" s="23"/>
      <c r="AC10" s="23"/>
      <c r="AD10" s="23"/>
      <c r="AE10" s="23"/>
      <c r="AF10" s="23"/>
      <c r="AG10" s="23"/>
      <c r="AH10" s="23"/>
      <c r="AI10" s="23"/>
      <c r="AJ10" s="25"/>
    </row>
    <row r="11" ht="17.1" customHeight="1" spans="1:36" s="35" customFormat="1" x14ac:dyDescent="0.25">
      <c r="A11" s="420" t="s">
        <v>148</v>
      </c>
      <c r="B11" s="421"/>
      <c r="C11" s="421"/>
      <c r="D11" s="421"/>
      <c r="E11" s="421"/>
      <c r="F11" s="421"/>
      <c r="G11" s="421"/>
      <c r="H11" s="32" t="s">
        <v>14</v>
      </c>
      <c r="I11" s="30"/>
      <c r="J11" s="30" t="s">
        <v>15</v>
      </c>
      <c r="K11" s="30"/>
      <c r="L11" s="30" t="s">
        <v>149</v>
      </c>
      <c r="M11" s="30"/>
      <c r="N11" s="30" t="s">
        <v>17</v>
      </c>
      <c r="O11" s="422"/>
      <c r="P11" s="32" t="s">
        <v>14</v>
      </c>
      <c r="Q11" s="30"/>
      <c r="R11" s="30" t="s">
        <v>15</v>
      </c>
      <c r="S11" s="30"/>
      <c r="T11" s="30" t="s">
        <v>149</v>
      </c>
      <c r="U11" s="30"/>
      <c r="V11" s="30" t="s">
        <v>17</v>
      </c>
      <c r="W11" s="422"/>
      <c r="X11" s="34"/>
      <c r="Y11" s="30"/>
      <c r="Z11" s="422"/>
      <c r="AA11" s="34"/>
      <c r="AB11" s="30"/>
      <c r="AC11" s="30"/>
      <c r="AD11" s="30"/>
      <c r="AE11" s="30"/>
      <c r="AF11" s="30"/>
      <c r="AG11" s="30"/>
      <c r="AH11" s="30"/>
      <c r="AI11" s="30"/>
      <c r="AJ11" s="422"/>
    </row>
    <row r="12" ht="17.1" customHeight="1" spans="1:36" s="35" customFormat="1" x14ac:dyDescent="0.25">
      <c r="A12" s="423" t="s">
        <v>150</v>
      </c>
      <c r="B12" s="424"/>
      <c r="C12" s="424"/>
      <c r="D12" s="184"/>
      <c r="E12" s="238"/>
      <c r="F12" s="238"/>
      <c r="G12" s="425"/>
      <c r="H12" s="426"/>
      <c r="I12" s="69"/>
      <c r="J12" s="427"/>
      <c r="K12" s="40"/>
      <c r="L12" s="428"/>
      <c r="M12" s="66"/>
      <c r="N12" s="428"/>
      <c r="O12" s="66"/>
      <c r="P12" s="426"/>
      <c r="Q12" s="69"/>
      <c r="R12" s="429"/>
      <c r="S12" s="43"/>
      <c r="T12" s="429"/>
      <c r="U12" s="43"/>
      <c r="V12" s="429"/>
      <c r="W12" s="42"/>
      <c r="X12" s="430">
        <f t="shared" ref="X12:X17" si="0">SUM(H12:W12)</f>
        <v>54</v>
      </c>
      <c r="Y12" s="427"/>
      <c r="Z12" s="431"/>
      <c r="AA12" s="432" t="s">
        <v>151</v>
      </c>
      <c r="AB12" s="433"/>
      <c r="AC12" s="433"/>
      <c r="AD12" s="433"/>
      <c r="AE12" s="433"/>
      <c r="AF12" s="433"/>
      <c r="AG12" s="433"/>
      <c r="AH12" s="433"/>
      <c r="AI12" s="433"/>
      <c r="AJ12" s="434"/>
    </row>
    <row r="13" ht="17.1" customHeight="1" spans="1:36" s="35" customFormat="1" x14ac:dyDescent="0.25">
      <c r="A13" s="435"/>
      <c r="B13" s="35"/>
      <c r="C13" s="35"/>
      <c r="D13" s="204"/>
      <c r="E13" s="216"/>
      <c r="F13" s="216"/>
      <c r="G13" s="436"/>
      <c r="H13" s="426"/>
      <c r="I13" s="69"/>
      <c r="J13" s="437"/>
      <c r="K13" s="48"/>
      <c r="L13" s="437"/>
      <c r="M13" s="48"/>
      <c r="N13" s="437"/>
      <c r="O13" s="48"/>
      <c r="P13" s="426"/>
      <c r="Q13" s="69"/>
      <c r="R13" s="438"/>
      <c r="S13" s="66"/>
      <c r="T13" s="438"/>
      <c r="U13" s="66"/>
      <c r="V13" s="438"/>
      <c r="W13" s="69"/>
      <c r="X13" s="439">
        <f t="shared" si="0"/>
        <v>93</v>
      </c>
      <c r="Y13" s="437"/>
      <c r="Z13" s="440"/>
      <c r="AA13" s="441" t="s">
        <v>152</v>
      </c>
      <c r="AB13" s="442"/>
      <c r="AC13" s="442"/>
      <c r="AD13" s="442"/>
      <c r="AE13" s="442"/>
      <c r="AF13" s="442"/>
      <c r="AG13" s="442"/>
      <c r="AH13" s="442"/>
      <c r="AI13" s="442"/>
      <c r="AJ13" s="443"/>
    </row>
    <row r="14" ht="17.1" customHeight="1" spans="1:36" s="35" customFormat="1" x14ac:dyDescent="0.25">
      <c r="A14" s="435"/>
      <c r="B14" s="35"/>
      <c r="C14" s="35"/>
      <c r="D14" s="204"/>
      <c r="E14" s="216"/>
      <c r="F14" s="216"/>
      <c r="G14" s="436"/>
      <c r="H14" s="426"/>
      <c r="I14" s="69"/>
      <c r="J14" s="438"/>
      <c r="K14" s="66"/>
      <c r="L14" s="428"/>
      <c r="M14" s="66"/>
      <c r="N14" s="428"/>
      <c r="O14" s="66"/>
      <c r="P14" s="426"/>
      <c r="Q14" s="69"/>
      <c r="R14" s="437"/>
      <c r="S14" s="48"/>
      <c r="T14" s="428"/>
      <c r="U14" s="66"/>
      <c r="V14" s="428"/>
      <c r="W14" s="69"/>
      <c r="X14" s="444">
        <f t="shared" si="0"/>
        <v>87</v>
      </c>
      <c r="Y14" s="445"/>
      <c r="Z14" s="446"/>
      <c r="AA14" s="447" t="s">
        <v>153</v>
      </c>
      <c r="AB14" s="448"/>
      <c r="AC14" s="448"/>
      <c r="AD14" s="448"/>
      <c r="AE14" s="448"/>
      <c r="AF14" s="448"/>
      <c r="AG14" s="448"/>
      <c r="AH14" s="448"/>
      <c r="AI14" s="448"/>
      <c r="AJ14" s="449"/>
    </row>
    <row r="15" ht="17.1" customHeight="1" spans="1:36" s="35" customFormat="1" x14ac:dyDescent="0.25">
      <c r="A15" s="435"/>
      <c r="B15" s="35"/>
      <c r="C15" s="35"/>
      <c r="D15" s="204"/>
      <c r="E15" s="216"/>
      <c r="F15" s="216"/>
      <c r="G15" s="436"/>
      <c r="H15" s="426"/>
      <c r="I15" s="69"/>
      <c r="J15" s="438"/>
      <c r="K15" s="66"/>
      <c r="L15" s="428"/>
      <c r="M15" s="66"/>
      <c r="N15" s="428"/>
      <c r="O15" s="66"/>
      <c r="P15" s="426"/>
      <c r="Q15" s="69"/>
      <c r="R15" s="437"/>
      <c r="S15" s="48"/>
      <c r="T15" s="428"/>
      <c r="U15" s="66"/>
      <c r="V15" s="428"/>
      <c r="W15" s="69"/>
      <c r="X15" s="444">
        <f t="shared" si="0"/>
        <v>31</v>
      </c>
      <c r="Y15" s="445"/>
      <c r="Z15" s="446"/>
      <c r="AA15" s="450" t="s">
        <v>154</v>
      </c>
      <c r="AB15" s="207"/>
      <c r="AC15" s="207"/>
      <c r="AD15" s="207"/>
      <c r="AE15" s="207"/>
      <c r="AF15" s="207"/>
      <c r="AG15" s="207"/>
      <c r="AH15" s="207"/>
      <c r="AI15" s="207"/>
      <c r="AJ15" s="451"/>
    </row>
    <row r="16" ht="17.1" customHeight="1" spans="1:36" s="35" customFormat="1" x14ac:dyDescent="0.25">
      <c r="A16" s="435"/>
      <c r="B16" s="35"/>
      <c r="C16" s="35"/>
      <c r="D16" s="204"/>
      <c r="E16" s="216"/>
      <c r="F16" s="216"/>
      <c r="G16" s="436"/>
      <c r="H16" s="444"/>
      <c r="I16" s="51"/>
      <c r="J16" s="452"/>
      <c r="K16" s="51"/>
      <c r="L16" s="452"/>
      <c r="M16" s="51"/>
      <c r="N16" s="452"/>
      <c r="O16" s="50"/>
      <c r="P16" s="444"/>
      <c r="Q16" s="51"/>
      <c r="R16" s="452"/>
      <c r="S16" s="51"/>
      <c r="T16" s="452"/>
      <c r="U16" s="51"/>
      <c r="V16" s="452"/>
      <c r="W16" s="50"/>
      <c r="X16" s="444">
        <f t="shared" si="0"/>
        <v>1</v>
      </c>
      <c r="Y16" s="445"/>
      <c r="Z16" s="446"/>
      <c r="AA16" s="453"/>
      <c r="AB16" s="454"/>
      <c r="AC16" s="454"/>
      <c r="AD16" s="454"/>
      <c r="AE16" s="454"/>
      <c r="AF16" s="454"/>
      <c r="AG16" s="454"/>
      <c r="AH16" s="454"/>
      <c r="AI16" s="454"/>
      <c r="AJ16" s="455"/>
    </row>
    <row r="17" ht="17.1" customHeight="1" spans="1:36" s="35" customFormat="1" x14ac:dyDescent="0.25">
      <c r="A17" s="435"/>
      <c r="B17" s="35"/>
      <c r="C17" s="35"/>
      <c r="D17" s="456"/>
      <c r="E17" s="31"/>
      <c r="F17" s="31"/>
      <c r="G17" s="33"/>
      <c r="H17" s="457"/>
      <c r="I17" s="365"/>
      <c r="J17" s="458"/>
      <c r="K17" s="367"/>
      <c r="L17" s="459"/>
      <c r="M17" s="367"/>
      <c r="N17" s="459"/>
      <c r="O17" s="367"/>
      <c r="P17" s="457"/>
      <c r="Q17" s="365"/>
      <c r="R17" s="458"/>
      <c r="S17" s="367"/>
      <c r="T17" s="459"/>
      <c r="U17" s="367"/>
      <c r="V17" s="459"/>
      <c r="W17" s="365"/>
      <c r="X17" s="460">
        <f t="shared" si="0"/>
        <v>0</v>
      </c>
      <c r="Y17" s="461"/>
      <c r="Z17" s="462"/>
      <c r="AA17" s="463"/>
      <c r="AB17" s="464"/>
      <c r="AC17" s="464"/>
      <c r="AD17" s="464"/>
      <c r="AE17" s="464"/>
      <c r="AF17" s="464"/>
      <c r="AG17" s="464"/>
      <c r="AH17" s="464"/>
      <c r="AI17" s="464"/>
      <c r="AJ17" s="465"/>
    </row>
    <row r="18" ht="17.1" customHeight="1" spans="1:36" s="35" customFormat="1" x14ac:dyDescent="0.25">
      <c r="A18" s="466"/>
      <c r="B18" s="467"/>
      <c r="C18" s="467"/>
      <c r="D18" s="468" t="s">
        <v>155</v>
      </c>
      <c r="E18" s="468"/>
      <c r="F18" s="468"/>
      <c r="G18" s="469"/>
      <c r="H18" s="470">
        <f>SUM(H12:I17)</f>
        <v>32</v>
      </c>
      <c r="I18" s="471"/>
      <c r="J18" s="472">
        <f>SUM(J12:K17)</f>
        <v>0</v>
      </c>
      <c r="K18" s="473"/>
      <c r="L18" s="472">
        <f>SUM(L12:M17)</f>
        <v>234</v>
      </c>
      <c r="M18" s="473"/>
      <c r="N18" s="472">
        <f>SUM(N12:O17)</f>
        <v>0</v>
      </c>
      <c r="O18" s="474"/>
      <c r="P18" s="470">
        <f>SUM(P12:Q17)</f>
        <v>0</v>
      </c>
      <c r="Q18" s="471"/>
      <c r="R18" s="471">
        <f>SUM(R12:S17)</f>
        <v>0</v>
      </c>
      <c r="S18" s="471"/>
      <c r="T18" s="471">
        <f>SUM(T12:U17)</f>
        <v>0</v>
      </c>
      <c r="U18" s="471"/>
      <c r="V18" s="471">
        <f>SUM(V12:W17)</f>
        <v>0</v>
      </c>
      <c r="W18" s="475"/>
      <c r="X18" s="476">
        <f>SUM(X12:Z17)</f>
        <v>266</v>
      </c>
      <c r="Y18" s="477"/>
      <c r="Z18" s="478"/>
      <c r="AA18" s="479"/>
      <c r="AB18" s="480"/>
      <c r="AC18" s="480"/>
      <c r="AD18" s="480"/>
      <c r="AE18" s="480"/>
      <c r="AF18" s="480"/>
      <c r="AG18" s="480"/>
      <c r="AH18" s="480"/>
      <c r="AI18" s="480"/>
      <c r="AJ18" s="481"/>
    </row>
    <row r="19" ht="17.1" customHeight="1" spans="1:36" s="35" customFormat="1" x14ac:dyDescent="0.25">
      <c r="A19" s="16" t="s">
        <v>156</v>
      </c>
      <c r="B19" s="482"/>
      <c r="C19" s="483"/>
      <c r="D19" s="24"/>
      <c r="E19" s="20"/>
      <c r="F19" s="20"/>
      <c r="G19" s="21"/>
      <c r="H19" s="426"/>
      <c r="I19" s="69"/>
      <c r="J19" s="438"/>
      <c r="K19" s="66"/>
      <c r="L19" s="438"/>
      <c r="M19" s="66"/>
      <c r="N19" s="438"/>
      <c r="O19" s="66"/>
      <c r="P19" s="426"/>
      <c r="Q19" s="69"/>
      <c r="R19" s="438"/>
      <c r="S19" s="66"/>
      <c r="T19" s="438"/>
      <c r="U19" s="66"/>
      <c r="V19" s="438"/>
      <c r="W19" s="69"/>
      <c r="X19" s="89">
        <f t="shared" ref="X19:X25" si="1">SUM(H19:W19)</f>
        <v>55</v>
      </c>
      <c r="Y19" s="87"/>
      <c r="Z19" s="88"/>
      <c r="AA19" s="484"/>
      <c r="AB19" s="485"/>
      <c r="AC19" s="485"/>
      <c r="AD19" s="485"/>
      <c r="AE19" s="485"/>
      <c r="AF19" s="485"/>
      <c r="AG19" s="485"/>
      <c r="AH19" s="485"/>
      <c r="AI19" s="485"/>
      <c r="AJ19" s="486"/>
    </row>
    <row r="20" ht="17.1" customHeight="1" spans="1:36" s="35" customFormat="1" x14ac:dyDescent="0.25">
      <c r="A20" s="435"/>
      <c r="B20" s="35"/>
      <c r="C20" s="487"/>
      <c r="D20" s="157"/>
      <c r="E20" s="239"/>
      <c r="F20" s="239"/>
      <c r="G20" s="488"/>
      <c r="H20" s="426"/>
      <c r="I20" s="69"/>
      <c r="J20" s="437"/>
      <c r="K20" s="48"/>
      <c r="L20" s="437"/>
      <c r="M20" s="48"/>
      <c r="N20" s="437"/>
      <c r="O20" s="48"/>
      <c r="P20" s="426"/>
      <c r="Q20" s="69"/>
      <c r="R20" s="438"/>
      <c r="S20" s="66"/>
      <c r="T20" s="438"/>
      <c r="U20" s="66"/>
      <c r="V20" s="438"/>
      <c r="W20" s="69"/>
      <c r="X20" s="439">
        <f t="shared" si="1"/>
        <v>82</v>
      </c>
      <c r="Y20" s="437"/>
      <c r="Z20" s="440"/>
      <c r="AA20" s="489" t="s">
        <v>152</v>
      </c>
      <c r="AB20" s="490"/>
      <c r="AC20" s="490"/>
      <c r="AD20" s="490"/>
      <c r="AE20" s="490"/>
      <c r="AF20" s="490"/>
      <c r="AG20" s="490"/>
      <c r="AH20" s="490"/>
      <c r="AI20" s="490"/>
      <c r="AJ20" s="491"/>
    </row>
    <row r="21" ht="17.1" customHeight="1" spans="1:36" s="35" customFormat="1" x14ac:dyDescent="0.25">
      <c r="A21" s="435"/>
      <c r="B21" s="35"/>
      <c r="C21" s="487"/>
      <c r="D21" s="204"/>
      <c r="E21" s="216"/>
      <c r="F21" s="216"/>
      <c r="G21" s="436"/>
      <c r="H21" s="460"/>
      <c r="I21" s="82"/>
      <c r="J21" s="461"/>
      <c r="K21" s="79"/>
      <c r="L21" s="461"/>
      <c r="M21" s="79"/>
      <c r="N21" s="461"/>
      <c r="O21" s="79"/>
      <c r="P21" s="460"/>
      <c r="Q21" s="82"/>
      <c r="R21" s="461"/>
      <c r="S21" s="79"/>
      <c r="T21" s="461"/>
      <c r="U21" s="79"/>
      <c r="V21" s="461"/>
      <c r="W21" s="82"/>
      <c r="X21" s="439">
        <f t="shared" si="1"/>
        <v>125</v>
      </c>
      <c r="Y21" s="437"/>
      <c r="Z21" s="440"/>
      <c r="AA21" s="489" t="s">
        <v>157</v>
      </c>
      <c r="AB21" s="490"/>
      <c r="AC21" s="490"/>
      <c r="AD21" s="490"/>
      <c r="AE21" s="490"/>
      <c r="AF21" s="490"/>
      <c r="AG21" s="490"/>
      <c r="AH21" s="490"/>
      <c r="AI21" s="490"/>
      <c r="AJ21" s="491"/>
    </row>
    <row r="22" ht="17.1" customHeight="1" spans="1:36" s="35" customFormat="1" x14ac:dyDescent="0.25">
      <c r="A22" s="435"/>
      <c r="B22" s="35"/>
      <c r="C22" s="487"/>
      <c r="D22" s="204"/>
      <c r="E22" s="216"/>
      <c r="F22" s="216"/>
      <c r="G22" s="436"/>
      <c r="H22" s="460"/>
      <c r="I22" s="82"/>
      <c r="J22" s="461"/>
      <c r="K22" s="79"/>
      <c r="L22" s="461"/>
      <c r="M22" s="79"/>
      <c r="N22" s="461"/>
      <c r="O22" s="79"/>
      <c r="P22" s="460"/>
      <c r="Q22" s="82"/>
      <c r="R22" s="461"/>
      <c r="S22" s="79"/>
      <c r="T22" s="461"/>
      <c r="U22" s="79"/>
      <c r="V22" s="461"/>
      <c r="W22" s="82"/>
      <c r="X22" s="439">
        <f t="shared" si="1"/>
        <v>29</v>
      </c>
      <c r="Y22" s="437"/>
      <c r="Z22" s="440"/>
      <c r="AA22" s="489" t="s">
        <v>158</v>
      </c>
      <c r="AB22" s="490"/>
      <c r="AC22" s="490"/>
      <c r="AD22" s="490"/>
      <c r="AE22" s="490"/>
      <c r="AF22" s="490"/>
      <c r="AG22" s="490"/>
      <c r="AH22" s="490"/>
      <c r="AI22" s="490"/>
      <c r="AJ22" s="491"/>
    </row>
    <row r="23" ht="17.1" customHeight="1" spans="1:36" s="35" customFormat="1" x14ac:dyDescent="0.25">
      <c r="A23" s="435"/>
      <c r="B23" s="35"/>
      <c r="C23" s="487"/>
      <c r="D23" s="159"/>
      <c r="E23" s="492"/>
      <c r="F23" s="492"/>
      <c r="G23" s="493"/>
      <c r="H23" s="460"/>
      <c r="I23" s="82"/>
      <c r="J23" s="461"/>
      <c r="K23" s="79"/>
      <c r="L23" s="461"/>
      <c r="M23" s="79"/>
      <c r="N23" s="461"/>
      <c r="O23" s="79"/>
      <c r="P23" s="460"/>
      <c r="Q23" s="82"/>
      <c r="R23" s="461"/>
      <c r="S23" s="79"/>
      <c r="T23" s="461"/>
      <c r="U23" s="79"/>
      <c r="V23" s="461"/>
      <c r="W23" s="82"/>
      <c r="X23" s="439">
        <f t="shared" si="1"/>
        <v>2</v>
      </c>
      <c r="Y23" s="437"/>
      <c r="Z23" s="440"/>
      <c r="AA23" s="489"/>
      <c r="AB23" s="490"/>
      <c r="AC23" s="490"/>
      <c r="AD23" s="490"/>
      <c r="AE23" s="490"/>
      <c r="AF23" s="490"/>
      <c r="AG23" s="490"/>
      <c r="AH23" s="490"/>
      <c r="AI23" s="490"/>
      <c r="AJ23" s="491"/>
    </row>
    <row r="24" ht="17.1" customHeight="1" spans="1:36" s="35" customFormat="1" x14ac:dyDescent="0.25">
      <c r="A24" s="435"/>
      <c r="B24" s="35"/>
      <c r="C24" s="487"/>
      <c r="D24" s="159"/>
      <c r="E24" s="492"/>
      <c r="F24" s="492"/>
      <c r="G24" s="493"/>
      <c r="H24" s="460"/>
      <c r="I24" s="82"/>
      <c r="J24" s="461"/>
      <c r="K24" s="79"/>
      <c r="L24" s="461"/>
      <c r="M24" s="79"/>
      <c r="N24" s="461"/>
      <c r="O24" s="79"/>
      <c r="P24" s="460"/>
      <c r="Q24" s="82"/>
      <c r="R24" s="461"/>
      <c r="S24" s="79"/>
      <c r="T24" s="461"/>
      <c r="U24" s="79"/>
      <c r="V24" s="461"/>
      <c r="W24" s="82"/>
      <c r="X24" s="439">
        <f t="shared" si="1"/>
        <v>0</v>
      </c>
      <c r="Y24" s="437"/>
      <c r="Z24" s="440"/>
      <c r="AA24" s="489"/>
      <c r="AB24" s="490"/>
      <c r="AC24" s="490"/>
      <c r="AD24" s="490"/>
      <c r="AE24" s="490"/>
      <c r="AF24" s="490"/>
      <c r="AG24" s="490"/>
      <c r="AH24" s="490"/>
      <c r="AI24" s="490"/>
      <c r="AJ24" s="491"/>
    </row>
    <row r="25" ht="17.1" customHeight="1" spans="1:36" s="35" customFormat="1" x14ac:dyDescent="0.25">
      <c r="A25" s="435"/>
      <c r="B25" s="35"/>
      <c r="C25" s="487"/>
      <c r="D25" s="154"/>
      <c r="E25" s="492"/>
      <c r="F25" s="492"/>
      <c r="G25" s="493"/>
      <c r="H25" s="460"/>
      <c r="I25" s="82"/>
      <c r="J25" s="461"/>
      <c r="K25" s="79"/>
      <c r="L25" s="461"/>
      <c r="M25" s="79"/>
      <c r="N25" s="461"/>
      <c r="O25" s="79"/>
      <c r="P25" s="460"/>
      <c r="Q25" s="82"/>
      <c r="R25" s="461"/>
      <c r="S25" s="79"/>
      <c r="T25" s="461"/>
      <c r="U25" s="79"/>
      <c r="V25" s="461"/>
      <c r="W25" s="82"/>
      <c r="X25" s="460">
        <f t="shared" si="1"/>
        <v>0</v>
      </c>
      <c r="Y25" s="461"/>
      <c r="Z25" s="462"/>
      <c r="AA25" s="494"/>
      <c r="AB25" s="495"/>
      <c r="AC25" s="495"/>
      <c r="AD25" s="495"/>
      <c r="AE25" s="495"/>
      <c r="AF25" s="495"/>
      <c r="AG25" s="495"/>
      <c r="AH25" s="495"/>
      <c r="AI25" s="495"/>
      <c r="AJ25" s="496"/>
    </row>
    <row r="26" ht="17.1" customHeight="1" spans="1:36" s="35" customFormat="1" x14ac:dyDescent="0.25">
      <c r="A26" s="466"/>
      <c r="B26" s="467"/>
      <c r="C26" s="497"/>
      <c r="D26" s="468" t="s">
        <v>155</v>
      </c>
      <c r="E26" s="468"/>
      <c r="F26" s="468"/>
      <c r="G26" s="498"/>
      <c r="H26" s="476">
        <f>SUM(H19:I25)</f>
        <v>154</v>
      </c>
      <c r="I26" s="477"/>
      <c r="J26" s="472">
        <f>SUM(J19:K25)</f>
        <v>0</v>
      </c>
      <c r="K26" s="473"/>
      <c r="L26" s="472">
        <f>SUM(L19:M25)</f>
        <v>81</v>
      </c>
      <c r="M26" s="473"/>
      <c r="N26" s="472">
        <f>SUM(N19:O25)</f>
        <v>0</v>
      </c>
      <c r="O26" s="474"/>
      <c r="P26" s="476">
        <f>SUM(P19:Q25)</f>
        <v>8</v>
      </c>
      <c r="Q26" s="477"/>
      <c r="R26" s="477">
        <f>SUM(R19:S25)</f>
        <v>0</v>
      </c>
      <c r="S26" s="477"/>
      <c r="T26" s="477">
        <f>SUM(T19:U25)</f>
        <v>50</v>
      </c>
      <c r="U26" s="477"/>
      <c r="V26" s="477">
        <f>SUM(V19:W25)</f>
        <v>0</v>
      </c>
      <c r="W26" s="478"/>
      <c r="X26" s="476">
        <f>SUM(X19:Z25)</f>
        <v>293</v>
      </c>
      <c r="Y26" s="477"/>
      <c r="Z26" s="478"/>
      <c r="AA26" s="499"/>
      <c r="AB26" s="500"/>
      <c r="AC26" s="500"/>
      <c r="AD26" s="500"/>
      <c r="AE26" s="500"/>
      <c r="AF26" s="500"/>
      <c r="AG26" s="500"/>
      <c r="AH26" s="500"/>
      <c r="AI26" s="500"/>
      <c r="AJ26" s="501"/>
    </row>
    <row r="27" ht="17.1" customHeight="1" spans="1:36" s="35" customFormat="1" x14ac:dyDescent="0.25">
      <c r="A27" s="349" t="s">
        <v>159</v>
      </c>
      <c r="B27" s="221"/>
      <c r="C27" s="221"/>
      <c r="D27" s="221" t="s">
        <v>160</v>
      </c>
      <c r="E27" s="221"/>
      <c r="F27" s="221"/>
      <c r="G27" s="157"/>
      <c r="H27" s="426"/>
      <c r="I27" s="438"/>
      <c r="J27" s="502"/>
      <c r="K27" s="503"/>
      <c r="L27" s="502"/>
      <c r="M27" s="503"/>
      <c r="N27" s="502"/>
      <c r="O27" s="90"/>
      <c r="P27" s="426"/>
      <c r="Q27" s="438"/>
      <c r="R27" s="438"/>
      <c r="S27" s="438"/>
      <c r="T27" s="438"/>
      <c r="U27" s="438"/>
      <c r="V27" s="438"/>
      <c r="W27" s="504"/>
      <c r="X27" s="86"/>
      <c r="Y27" s="505"/>
      <c r="Z27" s="90"/>
      <c r="AA27" s="450"/>
      <c r="AB27" s="207"/>
      <c r="AC27" s="207"/>
      <c r="AD27" s="207"/>
      <c r="AE27" s="207"/>
      <c r="AF27" s="207"/>
      <c r="AG27" s="207"/>
      <c r="AH27" s="207"/>
      <c r="AI27" s="207"/>
      <c r="AJ27" s="451"/>
    </row>
    <row r="28" ht="17.1" customHeight="1" spans="1:36" s="35" customFormat="1" x14ac:dyDescent="0.25">
      <c r="A28" s="32"/>
      <c r="B28" s="30"/>
      <c r="C28" s="30"/>
      <c r="D28" s="30" t="s">
        <v>160</v>
      </c>
      <c r="E28" s="30"/>
      <c r="F28" s="30"/>
      <c r="G28" s="456"/>
      <c r="H28" s="457"/>
      <c r="I28" s="458"/>
      <c r="J28" s="458"/>
      <c r="K28" s="458"/>
      <c r="L28" s="458"/>
      <c r="M28" s="458"/>
      <c r="N28" s="458"/>
      <c r="O28" s="506"/>
      <c r="P28" s="457"/>
      <c r="Q28" s="458"/>
      <c r="R28" s="458"/>
      <c r="S28" s="458"/>
      <c r="T28" s="458"/>
      <c r="U28" s="458"/>
      <c r="V28" s="458"/>
      <c r="W28" s="506"/>
      <c r="X28" s="507"/>
      <c r="Y28" s="508"/>
      <c r="Z28" s="509"/>
      <c r="AA28" s="510"/>
      <c r="AB28" s="511"/>
      <c r="AC28" s="511"/>
      <c r="AD28" s="511"/>
      <c r="AE28" s="511"/>
      <c r="AF28" s="511"/>
      <c r="AG28" s="511"/>
      <c r="AH28" s="511"/>
      <c r="AI28" s="511"/>
      <c r="AJ28" s="512"/>
    </row>
    <row r="29" ht="17.1" customHeight="1" spans="1:36" s="35" customFormat="1" x14ac:dyDescent="0.25">
      <c r="A29" s="513" t="s">
        <v>161</v>
      </c>
      <c r="B29" s="514"/>
      <c r="C29" s="514"/>
      <c r="D29" s="514"/>
      <c r="E29" s="514"/>
      <c r="F29" s="514"/>
      <c r="G29" s="515"/>
      <c r="H29" s="470">
        <f>SUM(H18+H26+H27+H28)</f>
        <v>186</v>
      </c>
      <c r="I29" s="471"/>
      <c r="J29" s="471">
        <f>SUM(J18+J26+J27+J28)</f>
        <v>0</v>
      </c>
      <c r="K29" s="471"/>
      <c r="L29" s="471">
        <f>SUM(L18+L26+L27+L28)</f>
        <v>315</v>
      </c>
      <c r="M29" s="471"/>
      <c r="N29" s="471">
        <f>SUM(N18+N26+N27+N28)</f>
        <v>0</v>
      </c>
      <c r="O29" s="475"/>
      <c r="P29" s="470">
        <f>SUM(P18+P26+P27+P28)</f>
        <v>8</v>
      </c>
      <c r="Q29" s="471"/>
      <c r="R29" s="471">
        <f>SUM(R18+R26+R27+R28)</f>
        <v>0</v>
      </c>
      <c r="S29" s="471"/>
      <c r="T29" s="471">
        <f>SUM(T18+T26+T27+T28)</f>
        <v>50</v>
      </c>
      <c r="U29" s="471"/>
      <c r="V29" s="471">
        <f>SUM(V18+V26+V27+V28)</f>
        <v>0</v>
      </c>
      <c r="W29" s="475"/>
      <c r="X29" s="516">
        <f>SUM(X18+X26+X27+X28)</f>
        <v>559</v>
      </c>
      <c r="Y29" s="471"/>
      <c r="Z29" s="475"/>
      <c r="AA29" s="517"/>
      <c r="AB29" s="518"/>
      <c r="AC29" s="518"/>
      <c r="AD29" s="518"/>
      <c r="AE29" s="518"/>
      <c r="AF29" s="518"/>
      <c r="AG29" s="518"/>
      <c r="AH29" s="518"/>
      <c r="AI29" s="518"/>
      <c r="AJ29" s="519"/>
    </row>
    <row r="30" ht="8.25" customHeight="1" spans="1:25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spans="1:25" x14ac:dyDescent="0.25">
      <c r="A31" s="520" t="s">
        <v>162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ht="3.75" customHeight="1" spans="1:2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ht="21" customHeight="1" spans="1:36" x14ac:dyDescent="0.25">
      <c r="A33" s="16" t="s">
        <v>163</v>
      </c>
      <c r="B33" s="482"/>
      <c r="C33" s="482"/>
      <c r="D33" s="482"/>
      <c r="E33" s="521" t="s">
        <v>164</v>
      </c>
      <c r="F33" s="522"/>
      <c r="G33" s="522"/>
      <c r="H33" s="522"/>
      <c r="I33" s="522"/>
      <c r="J33" s="522"/>
      <c r="K33" s="522" t="s">
        <v>165</v>
      </c>
      <c r="L33" s="522"/>
      <c r="M33" s="522"/>
      <c r="N33" s="522"/>
      <c r="O33" s="522"/>
      <c r="P33" s="523"/>
      <c r="Q33" s="521" t="s">
        <v>166</v>
      </c>
      <c r="R33" s="522"/>
      <c r="S33" s="522"/>
      <c r="T33" s="522"/>
      <c r="U33" s="522"/>
      <c r="V33" s="523"/>
      <c r="W33" s="521" t="s">
        <v>53</v>
      </c>
      <c r="X33" s="522"/>
      <c r="Y33" s="522"/>
      <c r="Z33" s="522"/>
      <c r="AA33" s="522"/>
      <c r="AB33" s="522"/>
      <c r="AC33" s="522"/>
      <c r="AD33" s="522"/>
      <c r="AE33" s="522"/>
      <c r="AF33" s="522"/>
      <c r="AG33" s="522"/>
      <c r="AH33" s="522"/>
      <c r="AI33" s="522"/>
      <c r="AJ33" s="523"/>
    </row>
    <row r="34" ht="15.75" customHeight="1" spans="1:36" s="524" customFormat="1" x14ac:dyDescent="0.25">
      <c r="A34" s="525" t="s">
        <v>167</v>
      </c>
      <c r="B34" s="526"/>
      <c r="C34" s="526"/>
      <c r="D34" s="527"/>
      <c r="E34" s="528">
        <v>0.8194444444452529</v>
      </c>
      <c r="F34" s="529"/>
      <c r="G34" s="529"/>
      <c r="H34" s="529"/>
      <c r="I34" s="529"/>
      <c r="J34" s="530"/>
      <c r="K34" s="531"/>
      <c r="L34" s="529"/>
      <c r="M34" s="529"/>
      <c r="N34" s="529"/>
      <c r="O34" s="529"/>
      <c r="P34" s="532"/>
      <c r="Q34" s="533">
        <f>IF(AND(NOT(ISBLANK(K34)),NOT(ISBLANK(E34))), IF(K34&gt;E34,K34-E34,24-E34+K34), "")</f>
      </c>
      <c r="R34" s="534"/>
      <c r="S34" s="534"/>
      <c r="T34" s="534"/>
      <c r="U34" s="534"/>
      <c r="V34" s="535"/>
      <c r="W34" s="536" t="s">
        <v>168</v>
      </c>
      <c r="X34" s="537"/>
      <c r="Y34" s="537"/>
      <c r="Z34" s="537"/>
      <c r="AA34" s="537"/>
      <c r="AB34" s="537"/>
      <c r="AC34" s="537"/>
      <c r="AD34" s="537"/>
      <c r="AE34" s="537"/>
      <c r="AF34" s="537"/>
      <c r="AG34" s="537"/>
      <c r="AH34" s="537"/>
      <c r="AI34" s="537"/>
      <c r="AJ34" s="538"/>
    </row>
    <row r="35" ht="15.75" customHeight="1" spans="1:36" s="524" customFormat="1" x14ac:dyDescent="0.25">
      <c r="A35" s="539" t="s">
        <v>36</v>
      </c>
      <c r="B35" s="540"/>
      <c r="C35" s="540"/>
      <c r="D35" s="541"/>
      <c r="E35" s="528">
        <f>E34</f>
        <v>0.8194444444452529</v>
      </c>
      <c r="F35" s="529"/>
      <c r="G35" s="529"/>
      <c r="H35" s="529"/>
      <c r="I35" s="529"/>
      <c r="J35" s="530"/>
      <c r="K35" s="531">
        <v>0.9861111111094942</v>
      </c>
      <c r="L35" s="529"/>
      <c r="M35" s="529"/>
      <c r="N35" s="529"/>
      <c r="O35" s="529"/>
      <c r="P35" s="532"/>
      <c r="Q35" s="533">
        <f>IF(AND(NOT(ISBLANK(K35)),NOT(ISBLANK(E35))), IF(K35&gt;E35,K35-E35,24-E35+K35), "")</f>
        <v>0.16666666666787933</v>
      </c>
      <c r="R35" s="534"/>
      <c r="S35" s="534"/>
      <c r="T35" s="534"/>
      <c r="U35" s="534"/>
      <c r="V35" s="535"/>
      <c r="W35" s="453" t="s">
        <v>169</v>
      </c>
      <c r="X35" s="454"/>
      <c r="Y35" s="454"/>
      <c r="Z35" s="454"/>
      <c r="AA35" s="454"/>
      <c r="AB35" s="454"/>
      <c r="AC35" s="454"/>
      <c r="AD35" s="454"/>
      <c r="AE35" s="454"/>
      <c r="AF35" s="454"/>
      <c r="AG35" s="454"/>
      <c r="AH35" s="454"/>
      <c r="AI35" s="454"/>
      <c r="AJ35" s="455"/>
    </row>
    <row r="36" ht="15.75" customHeight="1" spans="1:36" s="524" customFormat="1" x14ac:dyDescent="0.25">
      <c r="A36" s="542"/>
      <c r="B36" s="49"/>
      <c r="C36" s="49"/>
      <c r="D36" s="50"/>
      <c r="E36" s="528"/>
      <c r="F36" s="529"/>
      <c r="G36" s="529"/>
      <c r="H36" s="529"/>
      <c r="I36" s="529"/>
      <c r="J36" s="530"/>
      <c r="K36" s="529">
        <f>K35</f>
        <v>0.9861111111094942</v>
      </c>
      <c r="L36" s="529"/>
      <c r="M36" s="529"/>
      <c r="N36" s="529"/>
      <c r="O36" s="529"/>
      <c r="P36" s="532"/>
      <c r="Q36" s="533">
        <f>IF(AND(NOT(ISBLANK(K36)),NOT(ISBLANK(E36))),IF(K36&gt;E36,K36-E36,24-E36+K36),"")</f>
      </c>
      <c r="R36" s="534"/>
      <c r="S36" s="534"/>
      <c r="T36" s="534"/>
      <c r="U36" s="534"/>
      <c r="V36" s="535"/>
      <c r="W36" s="453" t="s">
        <v>170</v>
      </c>
      <c r="X36" s="454"/>
      <c r="Y36" s="454"/>
      <c r="Z36" s="454"/>
      <c r="AA36" s="454"/>
      <c r="AB36" s="454"/>
      <c r="AC36" s="454"/>
      <c r="AD36" s="454"/>
      <c r="AE36" s="454"/>
      <c r="AF36" s="454"/>
      <c r="AG36" s="454"/>
      <c r="AH36" s="454"/>
      <c r="AI36" s="454"/>
      <c r="AJ36" s="455"/>
    </row>
    <row r="37" ht="15.75" customHeight="1" spans="1:36" s="524" customFormat="1" x14ac:dyDescent="0.25">
      <c r="A37" s="542"/>
      <c r="B37" s="49"/>
      <c r="C37" s="49"/>
      <c r="D37" s="50"/>
      <c r="E37" s="528">
        <f>K36</f>
        <v>0.9861111111094942</v>
      </c>
      <c r="F37" s="529"/>
      <c r="G37" s="529"/>
      <c r="H37" s="529"/>
      <c r="I37" s="529"/>
      <c r="J37" s="530"/>
      <c r="K37" s="531">
        <v>0.041666666667879326</v>
      </c>
      <c r="L37" s="529"/>
      <c r="M37" s="529"/>
      <c r="N37" s="529"/>
      <c r="O37" s="529"/>
      <c r="P37" s="532"/>
      <c r="Q37" s="533">
        <f>IF(AND(NOT(ISBLANK(K37)),NOT(ISBLANK(E37))),IF(K37&gt;E37,K37-E37,24-E37+K37),"")</f>
        <v>23.055555555554747</v>
      </c>
      <c r="R37" s="534"/>
      <c r="S37" s="534"/>
      <c r="T37" s="534"/>
      <c r="U37" s="534"/>
      <c r="V37" s="535"/>
      <c r="W37" s="453" t="s">
        <v>171</v>
      </c>
      <c r="X37" s="454"/>
      <c r="Y37" s="454"/>
      <c r="Z37" s="454"/>
      <c r="AA37" s="454"/>
      <c r="AB37" s="454"/>
      <c r="AC37" s="454"/>
      <c r="AD37" s="454"/>
      <c r="AE37" s="454"/>
      <c r="AF37" s="454"/>
      <c r="AG37" s="454"/>
      <c r="AH37" s="454"/>
      <c r="AI37" s="454"/>
      <c r="AJ37" s="455"/>
    </row>
    <row r="38" ht="15.75" customHeight="1" spans="1:36" s="524" customFormat="1" x14ac:dyDescent="0.25">
      <c r="A38" s="543" t="s">
        <v>37</v>
      </c>
      <c r="B38" s="540"/>
      <c r="C38" s="540"/>
      <c r="D38" s="541"/>
      <c r="E38" s="528">
        <f>K37</f>
        <v>0.041666666667879326</v>
      </c>
      <c r="F38" s="529"/>
      <c r="G38" s="529"/>
      <c r="H38" s="529"/>
      <c r="I38" s="529"/>
      <c r="J38" s="530"/>
      <c r="K38" s="529"/>
      <c r="L38" s="529"/>
      <c r="M38" s="529"/>
      <c r="N38" s="529"/>
      <c r="O38" s="529"/>
      <c r="P38" s="532"/>
      <c r="Q38" s="533">
        <f>IF(AND(NOT(ISBLANK(K38)),NOT(ISBLANK(E38))), IF(K38&gt;E38,K38-E38,24-E38+K38), "")</f>
      </c>
      <c r="R38" s="534"/>
      <c r="S38" s="534"/>
      <c r="T38" s="534"/>
      <c r="U38" s="534"/>
      <c r="V38" s="535"/>
      <c r="W38" s="453" t="s">
        <v>172</v>
      </c>
      <c r="X38" s="454"/>
      <c r="Y38" s="454"/>
      <c r="Z38" s="454"/>
      <c r="AA38" s="454"/>
      <c r="AB38" s="454"/>
      <c r="AC38" s="454"/>
      <c r="AD38" s="454"/>
      <c r="AE38" s="454"/>
      <c r="AF38" s="454"/>
      <c r="AG38" s="454"/>
      <c r="AH38" s="454"/>
      <c r="AI38" s="454"/>
      <c r="AJ38" s="455"/>
    </row>
    <row r="39" ht="15.75" customHeight="1" spans="1:36" s="524" customFormat="1" x14ac:dyDescent="0.25">
      <c r="A39" s="542"/>
      <c r="B39" s="49"/>
      <c r="C39" s="49"/>
      <c r="D39" s="50"/>
      <c r="E39" s="528">
        <f>E38</f>
        <v>0.041666666667879326</v>
      </c>
      <c r="F39" s="529"/>
      <c r="G39" s="529"/>
      <c r="H39" s="529"/>
      <c r="I39" s="529"/>
      <c r="J39" s="530"/>
      <c r="K39" s="531">
        <v>0.14583333333212067</v>
      </c>
      <c r="L39" s="529"/>
      <c r="M39" s="529"/>
      <c r="N39" s="529"/>
      <c r="O39" s="529"/>
      <c r="P39" s="532"/>
      <c r="Q39" s="533">
        <f>IF(AND(NOT(ISBLANK(K39)),NOT(ISBLANK(E39))), IF(K39&gt;E39,K39-E39,24-E39+K39), "")</f>
        <v>0.10416666666787933</v>
      </c>
      <c r="R39" s="534"/>
      <c r="S39" s="534"/>
      <c r="T39" s="534"/>
      <c r="U39" s="534"/>
      <c r="V39" s="535"/>
      <c r="W39" s="453" t="s">
        <v>173</v>
      </c>
      <c r="X39" s="454"/>
      <c r="Y39" s="454"/>
      <c r="Z39" s="454"/>
      <c r="AA39" s="454"/>
      <c r="AB39" s="454"/>
      <c r="AC39" s="454"/>
      <c r="AD39" s="454"/>
      <c r="AE39" s="454"/>
      <c r="AF39" s="454"/>
      <c r="AG39" s="454"/>
      <c r="AH39" s="454"/>
      <c r="AI39" s="454"/>
      <c r="AJ39" s="455"/>
    </row>
    <row r="40" ht="15.75" customHeight="1" spans="1:36" s="524" customFormat="1" x14ac:dyDescent="0.25">
      <c r="A40" s="542"/>
      <c r="B40" s="49"/>
      <c r="C40" s="49"/>
      <c r="D40" s="50"/>
      <c r="E40" s="528">
        <f>K39</f>
        <v>0.14583333333212067</v>
      </c>
      <c r="F40" s="529"/>
      <c r="G40" s="529"/>
      <c r="H40" s="529"/>
      <c r="I40" s="529"/>
      <c r="J40" s="530"/>
      <c r="K40" s="529">
        <v>0.16666666666787933</v>
      </c>
      <c r="L40" s="529"/>
      <c r="M40" s="529"/>
      <c r="N40" s="529"/>
      <c r="O40" s="529"/>
      <c r="P40" s="532"/>
      <c r="Q40" s="533">
        <f>IF(AND(NOT(ISBLANK(K40)),NOT(ISBLANK(E40))), IF(K40&gt;E40,K40-E40,24-E40+K40), "")</f>
        <v>0.020833333332120674</v>
      </c>
      <c r="R40" s="534"/>
      <c r="S40" s="534"/>
      <c r="T40" s="534"/>
      <c r="U40" s="534"/>
      <c r="V40" s="535"/>
      <c r="W40" s="453" t="s">
        <v>174</v>
      </c>
      <c r="X40" s="454"/>
      <c r="Y40" s="454"/>
      <c r="Z40" s="454"/>
      <c r="AA40" s="454"/>
      <c r="AB40" s="454"/>
      <c r="AC40" s="454"/>
      <c r="AD40" s="454"/>
      <c r="AE40" s="454"/>
      <c r="AF40" s="454"/>
      <c r="AG40" s="454"/>
      <c r="AH40" s="454"/>
      <c r="AI40" s="454"/>
      <c r="AJ40" s="455"/>
    </row>
    <row r="41" ht="15.75" customHeight="1" spans="1:36" s="524" customFormat="1" x14ac:dyDescent="0.25">
      <c r="A41" s="542"/>
      <c r="B41" s="49"/>
      <c r="C41" s="49"/>
      <c r="D41" s="50"/>
      <c r="E41" s="528">
        <f>K40</f>
        <v>0.16666666666787933</v>
      </c>
      <c r="F41" s="529"/>
      <c r="G41" s="529"/>
      <c r="H41" s="529"/>
      <c r="I41" s="529"/>
      <c r="J41" s="530"/>
      <c r="K41" s="531">
        <v>0.24305555555474712</v>
      </c>
      <c r="L41" s="529"/>
      <c r="M41" s="529"/>
      <c r="N41" s="529"/>
      <c r="O41" s="529"/>
      <c r="P41" s="532"/>
      <c r="Q41" s="533">
        <f>IF(AND(NOT(ISBLANK(K41)),NOT(ISBLANK(E41))),IF(K41&gt;E41,K41-E41,24-E41+K41),"")</f>
        <v>0.07638888889050577</v>
      </c>
      <c r="R41" s="534"/>
      <c r="S41" s="534"/>
      <c r="T41" s="534"/>
      <c r="U41" s="534"/>
      <c r="V41" s="535"/>
      <c r="W41" s="453" t="s">
        <v>173</v>
      </c>
      <c r="X41" s="454"/>
      <c r="Y41" s="454"/>
      <c r="Z41" s="454"/>
      <c r="AA41" s="454"/>
      <c r="AB41" s="454"/>
      <c r="AC41" s="454"/>
      <c r="AD41" s="454"/>
      <c r="AE41" s="454"/>
      <c r="AF41" s="454"/>
      <c r="AG41" s="454"/>
      <c r="AH41" s="454"/>
      <c r="AI41" s="454"/>
      <c r="AJ41" s="455"/>
    </row>
    <row r="42" ht="15.75" customHeight="1" spans="1:36" s="524" customFormat="1" x14ac:dyDescent="0.25">
      <c r="A42" s="542"/>
      <c r="B42" s="49"/>
      <c r="C42" s="49"/>
      <c r="D42" s="50"/>
      <c r="E42" s="528"/>
      <c r="F42" s="529"/>
      <c r="G42" s="529"/>
      <c r="H42" s="529"/>
      <c r="I42" s="529"/>
      <c r="J42" s="530"/>
      <c r="K42" s="531">
        <f>K41</f>
        <v>0.24305555555474712</v>
      </c>
      <c r="L42" s="529"/>
      <c r="M42" s="529"/>
      <c r="N42" s="529"/>
      <c r="O42" s="529"/>
      <c r="P42" s="532"/>
      <c r="Q42" s="533">
        <f>IF(AND(NOT(ISBLANK(K42)),NOT(ISBLANK(E42))),IF(K42&gt;E42,K42-E42,24-E42+K42),"")</f>
      </c>
      <c r="R42" s="534"/>
      <c r="S42" s="534"/>
      <c r="T42" s="534"/>
      <c r="U42" s="534"/>
      <c r="V42" s="535"/>
      <c r="W42" s="453" t="s">
        <v>175</v>
      </c>
      <c r="X42" s="454"/>
      <c r="Y42" s="454"/>
      <c r="Z42" s="454"/>
      <c r="AA42" s="454"/>
      <c r="AB42" s="454"/>
      <c r="AC42" s="454"/>
      <c r="AD42" s="454"/>
      <c r="AE42" s="454"/>
      <c r="AF42" s="454"/>
      <c r="AG42" s="454"/>
      <c r="AH42" s="454"/>
      <c r="AI42" s="454"/>
      <c r="AJ42" s="455"/>
    </row>
    <row r="43" ht="15.75" customHeight="1" spans="1:36" s="524" customFormat="1" x14ac:dyDescent="0.25">
      <c r="A43" s="542"/>
      <c r="B43" s="49"/>
      <c r="C43" s="49"/>
      <c r="D43" s="50"/>
      <c r="E43" s="528"/>
      <c r="F43" s="529"/>
      <c r="G43" s="529"/>
      <c r="H43" s="529"/>
      <c r="I43" s="529"/>
      <c r="J43" s="530"/>
      <c r="K43" s="531"/>
      <c r="L43" s="529"/>
      <c r="M43" s="529"/>
      <c r="N43" s="529"/>
      <c r="O43" s="529"/>
      <c r="P43" s="532"/>
      <c r="Q43" s="533">
        <f>IF(AND(NOT(ISBLANK(K43)),NOT(ISBLANK(E43))),IF(K43&gt;E43,K43-E43,24-E43+K43),"")</f>
      </c>
      <c r="R43" s="534"/>
      <c r="S43" s="534"/>
      <c r="T43" s="534"/>
      <c r="U43" s="534"/>
      <c r="V43" s="535"/>
      <c r="W43" s="453"/>
      <c r="X43" s="454"/>
      <c r="Y43" s="454"/>
      <c r="Z43" s="454"/>
      <c r="AA43" s="454"/>
      <c r="AB43" s="454"/>
      <c r="AC43" s="454"/>
      <c r="AD43" s="454"/>
      <c r="AE43" s="454"/>
      <c r="AF43" s="454"/>
      <c r="AG43" s="454"/>
      <c r="AH43" s="454"/>
      <c r="AI43" s="454"/>
      <c r="AJ43" s="455"/>
    </row>
    <row r="44" ht="15.75" customHeight="1" hidden="1" spans="1:36" s="524" customFormat="1" x14ac:dyDescent="0.25">
      <c r="A44" s="542"/>
      <c r="B44" s="49"/>
      <c r="C44" s="49"/>
      <c r="D44" s="50"/>
      <c r="E44" s="528"/>
      <c r="F44" s="529"/>
      <c r="G44" s="529"/>
      <c r="H44" s="529"/>
      <c r="I44" s="529"/>
      <c r="J44" s="530"/>
      <c r="K44" s="529"/>
      <c r="L44" s="529"/>
      <c r="M44" s="529"/>
      <c r="N44" s="529"/>
      <c r="O44" s="529"/>
      <c r="P44" s="532"/>
      <c r="Q44" s="533">
        <f>IF(AND(NOT(ISBLANK(K44)),NOT(ISBLANK(E44))),IF(K44&gt;E44,K44-E44,24-E44+K44),"")</f>
      </c>
      <c r="R44" s="534"/>
      <c r="S44" s="534"/>
      <c r="T44" s="534"/>
      <c r="U44" s="534"/>
      <c r="V44" s="535"/>
      <c r="W44" s="453"/>
      <c r="X44" s="454"/>
      <c r="Y44" s="454"/>
      <c r="Z44" s="454"/>
      <c r="AA44" s="454"/>
      <c r="AB44" s="454"/>
      <c r="AC44" s="454"/>
      <c r="AD44" s="454"/>
      <c r="AE44" s="454"/>
      <c r="AF44" s="454"/>
      <c r="AG44" s="454"/>
      <c r="AH44" s="454"/>
      <c r="AI44" s="454"/>
      <c r="AJ44" s="455"/>
    </row>
    <row r="45" ht="15.75" customHeight="1" hidden="1" spans="1:36" s="524" customFormat="1" x14ac:dyDescent="0.25">
      <c r="A45" s="542"/>
      <c r="B45" s="49"/>
      <c r="C45" s="49"/>
      <c r="D45" s="50"/>
      <c r="E45" s="528"/>
      <c r="F45" s="529"/>
      <c r="G45" s="529"/>
      <c r="H45" s="529"/>
      <c r="I45" s="529"/>
      <c r="J45" s="530"/>
      <c r="K45" s="529"/>
      <c r="L45" s="529"/>
      <c r="M45" s="529"/>
      <c r="N45" s="529"/>
      <c r="O45" s="529"/>
      <c r="P45" s="532"/>
      <c r="Q45" s="533">
        <f>IF(AND(NOT(ISBLANK(K45)),NOT(ISBLANK(E45))),IF(K45&gt;E45,K45-E45,24-E45+K45),"")</f>
      </c>
      <c r="R45" s="534"/>
      <c r="S45" s="534"/>
      <c r="T45" s="534"/>
      <c r="U45" s="534"/>
      <c r="V45" s="535"/>
      <c r="W45" s="453"/>
      <c r="X45" s="454"/>
      <c r="Y45" s="454"/>
      <c r="Z45" s="454"/>
      <c r="AA45" s="454"/>
      <c r="AB45" s="454"/>
      <c r="AC45" s="454"/>
      <c r="AD45" s="454"/>
      <c r="AE45" s="454"/>
      <c r="AF45" s="454"/>
      <c r="AG45" s="454"/>
      <c r="AH45" s="454"/>
      <c r="AI45" s="454"/>
      <c r="AJ45" s="455"/>
    </row>
    <row r="46" ht="15.75" customHeight="1" hidden="1" spans="1:36" s="524" customFormat="1" x14ac:dyDescent="0.25">
      <c r="A46" s="542"/>
      <c r="B46" s="49"/>
      <c r="C46" s="49"/>
      <c r="D46" s="50"/>
      <c r="E46" s="528"/>
      <c r="F46" s="529"/>
      <c r="G46" s="529"/>
      <c r="H46" s="529"/>
      <c r="I46" s="529"/>
      <c r="J46" s="530"/>
      <c r="K46" s="529"/>
      <c r="L46" s="529"/>
      <c r="M46" s="529"/>
      <c r="N46" s="529"/>
      <c r="O46" s="529"/>
      <c r="P46" s="532"/>
      <c r="Q46" s="533">
        <f>IF(AND(NOT(ISBLANK(K46)),NOT(ISBLANK(E46))), IF(K46&gt;E46,K46-E46,24-E46+K46), "")</f>
      </c>
      <c r="R46" s="534"/>
      <c r="S46" s="534"/>
      <c r="T46" s="534"/>
      <c r="U46" s="534"/>
      <c r="V46" s="535"/>
      <c r="W46" s="453"/>
      <c r="X46" s="454"/>
      <c r="Y46" s="454"/>
      <c r="Z46" s="454"/>
      <c r="AA46" s="454"/>
      <c r="AB46" s="454"/>
      <c r="AC46" s="454"/>
      <c r="AD46" s="454"/>
      <c r="AE46" s="454"/>
      <c r="AF46" s="454"/>
      <c r="AG46" s="454"/>
      <c r="AH46" s="454"/>
      <c r="AI46" s="454"/>
      <c r="AJ46" s="455"/>
    </row>
    <row r="47" ht="15.75" customHeight="1" spans="1:36" s="524" customFormat="1" x14ac:dyDescent="0.25">
      <c r="A47" s="542"/>
      <c r="B47" s="49"/>
      <c r="C47" s="49"/>
      <c r="D47" s="50"/>
      <c r="E47" s="528"/>
      <c r="F47" s="529"/>
      <c r="G47" s="529"/>
      <c r="H47" s="529"/>
      <c r="I47" s="529"/>
      <c r="J47" s="530"/>
      <c r="K47" s="529"/>
      <c r="L47" s="529"/>
      <c r="M47" s="529"/>
      <c r="N47" s="529"/>
      <c r="O47" s="529"/>
      <c r="P47" s="532"/>
      <c r="Q47" s="533">
        <f>IF(AND(NOT(ISBLANK(K47)),NOT(ISBLANK(E47))), IF(K47&gt;E47,K47-E47,24-E47+K47), "")</f>
      </c>
      <c r="R47" s="534"/>
      <c r="S47" s="534"/>
      <c r="T47" s="534"/>
      <c r="U47" s="534"/>
      <c r="V47" s="535"/>
      <c r="W47" s="453"/>
      <c r="X47" s="454"/>
      <c r="Y47" s="454"/>
      <c r="Z47" s="454"/>
      <c r="AA47" s="454"/>
      <c r="AB47" s="454"/>
      <c r="AC47" s="454"/>
      <c r="AD47" s="454"/>
      <c r="AE47" s="454"/>
      <c r="AF47" s="454"/>
      <c r="AG47" s="454"/>
      <c r="AH47" s="454"/>
      <c r="AI47" s="454"/>
      <c r="AJ47" s="455"/>
    </row>
    <row r="48" ht="15.75" customHeight="1" spans="1:36" s="35" customFormat="1" x14ac:dyDescent="0.25">
      <c r="A48" s="544"/>
      <c r="B48" s="545"/>
      <c r="C48" s="545"/>
      <c r="D48" s="545"/>
      <c r="E48" s="545"/>
      <c r="F48" s="545"/>
      <c r="G48" s="545"/>
      <c r="H48" s="545"/>
      <c r="I48" s="545"/>
      <c r="J48" s="545"/>
      <c r="K48" s="545"/>
      <c r="L48" s="545"/>
      <c r="M48" s="545"/>
      <c r="N48" s="545"/>
      <c r="O48" s="545"/>
      <c r="P48" s="546"/>
      <c r="Q48" s="547">
        <f>SUM(Q34:V47)</f>
        <v>23.423611111109494</v>
      </c>
      <c r="R48" s="548"/>
      <c r="S48" s="548"/>
      <c r="T48" s="548"/>
      <c r="U48" s="548"/>
      <c r="V48" s="549"/>
      <c r="W48" s="550"/>
      <c r="X48" s="551"/>
      <c r="Y48" s="551"/>
      <c r="Z48" s="551"/>
      <c r="AA48" s="551"/>
      <c r="AB48" s="551"/>
      <c r="AC48" s="551"/>
      <c r="AD48" s="551"/>
      <c r="AE48" s="551"/>
      <c r="AF48" s="551"/>
      <c r="AG48" s="551"/>
      <c r="AH48" s="551"/>
      <c r="AI48" s="551"/>
      <c r="AJ48" s="552"/>
    </row>
    <row r="49" ht="15.75" customHeight="1" spans="1:36" s="524" customFormat="1" x14ac:dyDescent="0.25">
      <c r="A49" s="525" t="s">
        <v>176</v>
      </c>
      <c r="B49" s="526"/>
      <c r="C49" s="526"/>
      <c r="D49" s="527"/>
      <c r="E49" s="528">
        <v>0.8194444444452529</v>
      </c>
      <c r="F49" s="529"/>
      <c r="G49" s="529"/>
      <c r="H49" s="529"/>
      <c r="I49" s="529"/>
      <c r="J49" s="530"/>
      <c r="K49" s="531"/>
      <c r="L49" s="529"/>
      <c r="M49" s="529"/>
      <c r="N49" s="529"/>
      <c r="O49" s="529"/>
      <c r="P49" s="532"/>
      <c r="Q49" s="533">
        <f>IF(AND(NOT(ISBLANK(K49)),NOT(ISBLANK(E49))), IF(K49&gt;E49,K49-E49,24-E49+K49), "")</f>
      </c>
      <c r="R49" s="534"/>
      <c r="S49" s="534"/>
      <c r="T49" s="534"/>
      <c r="U49" s="534"/>
      <c r="V49" s="535"/>
      <c r="W49" s="536" t="s">
        <v>168</v>
      </c>
      <c r="X49" s="537"/>
      <c r="Y49" s="537"/>
      <c r="Z49" s="537"/>
      <c r="AA49" s="537"/>
      <c r="AB49" s="537"/>
      <c r="AC49" s="537"/>
      <c r="AD49" s="537"/>
      <c r="AE49" s="537"/>
      <c r="AF49" s="537"/>
      <c r="AG49" s="537"/>
      <c r="AH49" s="537"/>
      <c r="AI49" s="537"/>
      <c r="AJ49" s="538"/>
    </row>
    <row r="50" ht="15.75" customHeight="1" spans="1:36" s="524" customFormat="1" x14ac:dyDescent="0.25">
      <c r="A50" s="539" t="s">
        <v>36</v>
      </c>
      <c r="B50" s="540"/>
      <c r="C50" s="540"/>
      <c r="D50" s="541"/>
      <c r="E50" s="528">
        <f>E49</f>
        <v>0.8194444444452529</v>
      </c>
      <c r="F50" s="529"/>
      <c r="G50" s="529"/>
      <c r="H50" s="529"/>
      <c r="I50" s="529"/>
      <c r="J50" s="530"/>
      <c r="K50" s="531">
        <v>0.9861111111094942</v>
      </c>
      <c r="L50" s="529"/>
      <c r="M50" s="529"/>
      <c r="N50" s="529"/>
      <c r="O50" s="529"/>
      <c r="P50" s="532"/>
      <c r="Q50" s="533">
        <f>IF(AND(NOT(ISBLANK(K50)),NOT(ISBLANK(E50))), IF(K50&gt;E50,K50-E50,24-E50+K50), "")</f>
        <v>0.16666666666787933</v>
      </c>
      <c r="R50" s="534"/>
      <c r="S50" s="534"/>
      <c r="T50" s="534"/>
      <c r="U50" s="534"/>
      <c r="V50" s="535"/>
      <c r="W50" s="453" t="s">
        <v>169</v>
      </c>
      <c r="X50" s="454"/>
      <c r="Y50" s="454"/>
      <c r="Z50" s="454"/>
      <c r="AA50" s="454"/>
      <c r="AB50" s="454"/>
      <c r="AC50" s="454"/>
      <c r="AD50" s="454"/>
      <c r="AE50" s="454"/>
      <c r="AF50" s="454"/>
      <c r="AG50" s="454"/>
      <c r="AH50" s="454"/>
      <c r="AI50" s="454"/>
      <c r="AJ50" s="455"/>
    </row>
    <row r="51" ht="15.75" customHeight="1" spans="1:36" s="524" customFormat="1" x14ac:dyDescent="0.25">
      <c r="A51" s="542"/>
      <c r="B51" s="49"/>
      <c r="C51" s="49"/>
      <c r="D51" s="50"/>
      <c r="E51" s="528"/>
      <c r="F51" s="529"/>
      <c r="G51" s="529"/>
      <c r="H51" s="529"/>
      <c r="I51" s="529"/>
      <c r="J51" s="530"/>
      <c r="K51" s="529">
        <f>K50</f>
        <v>0.9861111111094942</v>
      </c>
      <c r="L51" s="529"/>
      <c r="M51" s="529"/>
      <c r="N51" s="529"/>
      <c r="O51" s="529"/>
      <c r="P51" s="532"/>
      <c r="Q51" s="533">
        <f>IF(AND(NOT(ISBLANK(K51)),NOT(ISBLANK(E51))),IF(K51&gt;E51,K51-E51,24-E51+K51),"")</f>
      </c>
      <c r="R51" s="534"/>
      <c r="S51" s="534"/>
      <c r="T51" s="534"/>
      <c r="U51" s="534"/>
      <c r="V51" s="535"/>
      <c r="W51" s="453" t="s">
        <v>170</v>
      </c>
      <c r="X51" s="454"/>
      <c r="Y51" s="454"/>
      <c r="Z51" s="454"/>
      <c r="AA51" s="454"/>
      <c r="AB51" s="454"/>
      <c r="AC51" s="454"/>
      <c r="AD51" s="454"/>
      <c r="AE51" s="454"/>
      <c r="AF51" s="454"/>
      <c r="AG51" s="454"/>
      <c r="AH51" s="454"/>
      <c r="AI51" s="454"/>
      <c r="AJ51" s="455"/>
    </row>
    <row r="52" ht="15.75" customHeight="1" spans="1:36" s="524" customFormat="1" x14ac:dyDescent="0.25">
      <c r="A52" s="542"/>
      <c r="B52" s="49"/>
      <c r="C52" s="49"/>
      <c r="D52" s="50"/>
      <c r="E52" s="528">
        <f>K51</f>
        <v>0.9861111111094942</v>
      </c>
      <c r="F52" s="529"/>
      <c r="G52" s="529"/>
      <c r="H52" s="529"/>
      <c r="I52" s="529"/>
      <c r="J52" s="530"/>
      <c r="K52" s="531">
        <v>0.041666666667879326</v>
      </c>
      <c r="L52" s="529"/>
      <c r="M52" s="529"/>
      <c r="N52" s="529"/>
      <c r="O52" s="529"/>
      <c r="P52" s="532"/>
      <c r="Q52" s="533">
        <f>IF(AND(NOT(ISBLANK(K52)),NOT(ISBLANK(E52))),IF(K52&gt;E52,K52-E52,24-E52+K52),"")</f>
        <v>23.055555555554747</v>
      </c>
      <c r="R52" s="534"/>
      <c r="S52" s="534"/>
      <c r="T52" s="534"/>
      <c r="U52" s="534"/>
      <c r="V52" s="535"/>
      <c r="W52" s="453" t="s">
        <v>171</v>
      </c>
      <c r="X52" s="454"/>
      <c r="Y52" s="454"/>
      <c r="Z52" s="454"/>
      <c r="AA52" s="454"/>
      <c r="AB52" s="454"/>
      <c r="AC52" s="454"/>
      <c r="AD52" s="454"/>
      <c r="AE52" s="454"/>
      <c r="AF52" s="454"/>
      <c r="AG52" s="454"/>
      <c r="AH52" s="454"/>
      <c r="AI52" s="454"/>
      <c r="AJ52" s="455"/>
    </row>
    <row r="53" ht="15.75" customHeight="1" spans="1:36" s="524" customFormat="1" x14ac:dyDescent="0.25">
      <c r="A53" s="542" t="s">
        <v>37</v>
      </c>
      <c r="B53" s="49"/>
      <c r="C53" s="49"/>
      <c r="D53" s="50"/>
      <c r="E53" s="528">
        <f>K52</f>
        <v>0.041666666667879326</v>
      </c>
      <c r="F53" s="529"/>
      <c r="G53" s="529"/>
      <c r="H53" s="529"/>
      <c r="I53" s="529"/>
      <c r="J53" s="530"/>
      <c r="K53" s="529"/>
      <c r="L53" s="529"/>
      <c r="M53" s="529"/>
      <c r="N53" s="529"/>
      <c r="O53" s="529"/>
      <c r="P53" s="532"/>
      <c r="Q53" s="533">
        <f>IF(AND(NOT(ISBLANK(K53)),NOT(ISBLANK(E53))), IF(K53&gt;E53,K53-E53,24-E53+K53), "")</f>
      </c>
      <c r="R53" s="534"/>
      <c r="S53" s="534"/>
      <c r="T53" s="534"/>
      <c r="U53" s="534"/>
      <c r="V53" s="535"/>
      <c r="W53" s="453" t="s">
        <v>172</v>
      </c>
      <c r="X53" s="454"/>
      <c r="Y53" s="454"/>
      <c r="Z53" s="454"/>
      <c r="AA53" s="454"/>
      <c r="AB53" s="454"/>
      <c r="AC53" s="454"/>
      <c r="AD53" s="454"/>
      <c r="AE53" s="454"/>
      <c r="AF53" s="454"/>
      <c r="AG53" s="454"/>
      <c r="AH53" s="454"/>
      <c r="AI53" s="454"/>
      <c r="AJ53" s="455"/>
    </row>
    <row r="54" ht="15.75" customHeight="1" spans="1:36" s="524" customFormat="1" x14ac:dyDescent="0.25">
      <c r="A54" s="542"/>
      <c r="B54" s="49"/>
      <c r="C54" s="49"/>
      <c r="D54" s="50"/>
      <c r="E54" s="528">
        <f>E53</f>
        <v>0.041666666667879326</v>
      </c>
      <c r="F54" s="529"/>
      <c r="G54" s="529"/>
      <c r="H54" s="529"/>
      <c r="I54" s="529"/>
      <c r="J54" s="530"/>
      <c r="K54" s="531">
        <v>0.14583333333212067</v>
      </c>
      <c r="L54" s="529"/>
      <c r="M54" s="529"/>
      <c r="N54" s="529"/>
      <c r="O54" s="529"/>
      <c r="P54" s="532"/>
      <c r="Q54" s="533">
        <f>IF(AND(NOT(ISBLANK(K54)),NOT(ISBLANK(E54))), IF(K54&gt;E54,K54-E54,24-E54+K54), "")</f>
        <v>0.10416666666787933</v>
      </c>
      <c r="R54" s="534"/>
      <c r="S54" s="534"/>
      <c r="T54" s="534"/>
      <c r="U54" s="534"/>
      <c r="V54" s="535"/>
      <c r="W54" s="453" t="s">
        <v>173</v>
      </c>
      <c r="X54" s="454"/>
      <c r="Y54" s="454"/>
      <c r="Z54" s="454"/>
      <c r="AA54" s="454"/>
      <c r="AB54" s="454"/>
      <c r="AC54" s="454"/>
      <c r="AD54" s="454"/>
      <c r="AE54" s="454"/>
      <c r="AF54" s="454"/>
      <c r="AG54" s="454"/>
      <c r="AH54" s="454"/>
      <c r="AI54" s="454"/>
      <c r="AJ54" s="455"/>
    </row>
    <row r="55" ht="15.75" customHeight="1" spans="1:36" s="524" customFormat="1" x14ac:dyDescent="0.25">
      <c r="A55" s="542"/>
      <c r="B55" s="49"/>
      <c r="C55" s="49"/>
      <c r="D55" s="50"/>
      <c r="E55" s="528">
        <f>K54</f>
        <v>0.14583333333212067</v>
      </c>
      <c r="F55" s="529"/>
      <c r="G55" s="529"/>
      <c r="H55" s="529"/>
      <c r="I55" s="529"/>
      <c r="J55" s="530"/>
      <c r="K55" s="529">
        <v>0.16666666666787933</v>
      </c>
      <c r="L55" s="529"/>
      <c r="M55" s="529"/>
      <c r="N55" s="529"/>
      <c r="O55" s="529"/>
      <c r="P55" s="532"/>
      <c r="Q55" s="533">
        <f>IF(AND(NOT(ISBLANK(K55)),NOT(ISBLANK(E55))), IF(K55&gt;E55,K55-E55,24-E55+K55), "")</f>
        <v>0.020833333332120674</v>
      </c>
      <c r="R55" s="534"/>
      <c r="S55" s="534"/>
      <c r="T55" s="534"/>
      <c r="U55" s="534"/>
      <c r="V55" s="535"/>
      <c r="W55" s="453" t="s">
        <v>174</v>
      </c>
      <c r="X55" s="454"/>
      <c r="Y55" s="454"/>
      <c r="Z55" s="454"/>
      <c r="AA55" s="454"/>
      <c r="AB55" s="454"/>
      <c r="AC55" s="454"/>
      <c r="AD55" s="454"/>
      <c r="AE55" s="454"/>
      <c r="AF55" s="454"/>
      <c r="AG55" s="454"/>
      <c r="AH55" s="454"/>
      <c r="AI55" s="454"/>
      <c r="AJ55" s="455"/>
    </row>
    <row r="56" ht="15.75" customHeight="1" spans="1:36" s="524" customFormat="1" x14ac:dyDescent="0.25">
      <c r="A56" s="542"/>
      <c r="B56" s="49"/>
      <c r="C56" s="49"/>
      <c r="D56" s="50"/>
      <c r="E56" s="528">
        <f>K55</f>
        <v>0.16666666666787933</v>
      </c>
      <c r="F56" s="529"/>
      <c r="G56" s="529"/>
      <c r="H56" s="529"/>
      <c r="I56" s="529"/>
      <c r="J56" s="530"/>
      <c r="K56" s="531">
        <v>0.23611111110949423</v>
      </c>
      <c r="L56" s="529"/>
      <c r="M56" s="529"/>
      <c r="N56" s="529"/>
      <c r="O56" s="529"/>
      <c r="P56" s="532"/>
      <c r="Q56" s="533">
        <f>IF(AND(NOT(ISBLANK(K56)),NOT(ISBLANK(E56))),IF(K56&gt;E56,K56-E56,24-E56+K56),"")</f>
        <v>0.06944444444525288</v>
      </c>
      <c r="R56" s="534"/>
      <c r="S56" s="534"/>
      <c r="T56" s="534"/>
      <c r="U56" s="534"/>
      <c r="V56" s="535"/>
      <c r="W56" s="453" t="s">
        <v>173</v>
      </c>
      <c r="X56" s="454"/>
      <c r="Y56" s="454"/>
      <c r="Z56" s="454"/>
      <c r="AA56" s="454"/>
      <c r="AB56" s="454"/>
      <c r="AC56" s="454"/>
      <c r="AD56" s="454"/>
      <c r="AE56" s="454"/>
      <c r="AF56" s="454"/>
      <c r="AG56" s="454"/>
      <c r="AH56" s="454"/>
      <c r="AI56" s="454"/>
      <c r="AJ56" s="455"/>
    </row>
    <row r="57" ht="15.75" customHeight="1" spans="1:36" s="524" customFormat="1" x14ac:dyDescent="0.25">
      <c r="A57" s="542"/>
      <c r="B57" s="49"/>
      <c r="C57" s="49"/>
      <c r="D57" s="50"/>
      <c r="E57" s="528"/>
      <c r="F57" s="529"/>
      <c r="G57" s="529"/>
      <c r="H57" s="529"/>
      <c r="I57" s="529"/>
      <c r="J57" s="530"/>
      <c r="K57" s="531">
        <f>K56</f>
        <v>0.23611111110949423</v>
      </c>
      <c r="L57" s="529"/>
      <c r="M57" s="529"/>
      <c r="N57" s="529"/>
      <c r="O57" s="529"/>
      <c r="P57" s="532"/>
      <c r="Q57" s="533">
        <f>IF(AND(NOT(ISBLANK(K57)),NOT(ISBLANK(E57))),IF(K57&gt;E57,K57-E57,24-E57+K57),"")</f>
      </c>
      <c r="R57" s="534"/>
      <c r="S57" s="534"/>
      <c r="T57" s="534"/>
      <c r="U57" s="534"/>
      <c r="V57" s="535"/>
      <c r="W57" s="453" t="s">
        <v>175</v>
      </c>
      <c r="X57" s="454"/>
      <c r="Y57" s="454"/>
      <c r="Z57" s="454"/>
      <c r="AA57" s="454"/>
      <c r="AB57" s="454"/>
      <c r="AC57" s="454"/>
      <c r="AD57" s="454"/>
      <c r="AE57" s="454"/>
      <c r="AF57" s="454"/>
      <c r="AG57" s="454"/>
      <c r="AH57" s="454"/>
      <c r="AI57" s="454"/>
      <c r="AJ57" s="455"/>
    </row>
    <row r="58" ht="15.75" customHeight="1" spans="1:36" s="524" customFormat="1" x14ac:dyDescent="0.25">
      <c r="A58" s="542"/>
      <c r="B58" s="49"/>
      <c r="C58" s="49"/>
      <c r="D58" s="50"/>
      <c r="E58" s="528"/>
      <c r="F58" s="529"/>
      <c r="G58" s="529"/>
      <c r="H58" s="529"/>
      <c r="I58" s="529"/>
      <c r="J58" s="530"/>
      <c r="K58" s="531"/>
      <c r="L58" s="529"/>
      <c r="M58" s="529"/>
      <c r="N58" s="529"/>
      <c r="O58" s="529"/>
      <c r="P58" s="532"/>
      <c r="Q58" s="533">
        <f>IF(AND(NOT(ISBLANK(K58)),NOT(ISBLANK(E58))),IF(K58&gt;E58,K58-E58,24-E58+K58),"")</f>
      </c>
      <c r="R58" s="534"/>
      <c r="S58" s="534"/>
      <c r="T58" s="534"/>
      <c r="U58" s="534"/>
      <c r="V58" s="535"/>
      <c r="W58" s="453"/>
      <c r="X58" s="454"/>
      <c r="Y58" s="454"/>
      <c r="Z58" s="454"/>
      <c r="AA58" s="454"/>
      <c r="AB58" s="454"/>
      <c r="AC58" s="454"/>
      <c r="AD58" s="454"/>
      <c r="AE58" s="454"/>
      <c r="AF58" s="454"/>
      <c r="AG58" s="454"/>
      <c r="AH58" s="454"/>
      <c r="AI58" s="454"/>
      <c r="AJ58" s="455"/>
    </row>
    <row r="59" ht="15.75" customHeight="1" hidden="1" spans="1:36" s="524" customFormat="1" x14ac:dyDescent="0.25">
      <c r="A59" s="542"/>
      <c r="B59" s="49"/>
      <c r="C59" s="49"/>
      <c r="D59" s="50"/>
      <c r="E59" s="528"/>
      <c r="F59" s="529"/>
      <c r="G59" s="529"/>
      <c r="H59" s="529"/>
      <c r="I59" s="529"/>
      <c r="J59" s="530"/>
      <c r="K59" s="529"/>
      <c r="L59" s="529"/>
      <c r="M59" s="529"/>
      <c r="N59" s="529"/>
      <c r="O59" s="529"/>
      <c r="P59" s="532"/>
      <c r="Q59" s="533">
        <f>IF(AND(NOT(ISBLANK(K59)),NOT(ISBLANK(E59))),IF(K59&gt;E59,K59-E59,24-E59+K59),"")</f>
      </c>
      <c r="R59" s="534"/>
      <c r="S59" s="534"/>
      <c r="T59" s="534"/>
      <c r="U59" s="534"/>
      <c r="V59" s="535"/>
      <c r="W59" s="453"/>
      <c r="X59" s="454"/>
      <c r="Y59" s="454"/>
      <c r="Z59" s="454"/>
      <c r="AA59" s="454"/>
      <c r="AB59" s="454"/>
      <c r="AC59" s="454"/>
      <c r="AD59" s="454"/>
      <c r="AE59" s="454"/>
      <c r="AF59" s="454"/>
      <c r="AG59" s="454"/>
      <c r="AH59" s="454"/>
      <c r="AI59" s="454"/>
      <c r="AJ59" s="455"/>
    </row>
    <row r="60" ht="15.75" customHeight="1" hidden="1" spans="1:36" s="524" customFormat="1" x14ac:dyDescent="0.25">
      <c r="A60" s="542"/>
      <c r="B60" s="49"/>
      <c r="C60" s="49"/>
      <c r="D60" s="50"/>
      <c r="E60" s="528"/>
      <c r="F60" s="529"/>
      <c r="G60" s="529"/>
      <c r="H60" s="529"/>
      <c r="I60" s="529"/>
      <c r="J60" s="530"/>
      <c r="K60" s="529"/>
      <c r="L60" s="529"/>
      <c r="M60" s="529"/>
      <c r="N60" s="529"/>
      <c r="O60" s="529"/>
      <c r="P60" s="532"/>
      <c r="Q60" s="533">
        <f>IF(AND(NOT(ISBLANK(K60)),NOT(ISBLANK(E60))), IF(K60&gt;E60,K60-E60,24-E60+K60), "")</f>
      </c>
      <c r="R60" s="534"/>
      <c r="S60" s="534"/>
      <c r="T60" s="534"/>
      <c r="U60" s="534"/>
      <c r="V60" s="535"/>
      <c r="W60" s="453"/>
      <c r="X60" s="454"/>
      <c r="Y60" s="454"/>
      <c r="Z60" s="454"/>
      <c r="AA60" s="454"/>
      <c r="AB60" s="454"/>
      <c r="AC60" s="454"/>
      <c r="AD60" s="454"/>
      <c r="AE60" s="454"/>
      <c r="AF60" s="454"/>
      <c r="AG60" s="454"/>
      <c r="AH60" s="454"/>
      <c r="AI60" s="454"/>
      <c r="AJ60" s="455"/>
    </row>
    <row r="61" ht="15.75" customHeight="1" spans="1:36" s="524" customFormat="1" x14ac:dyDescent="0.25">
      <c r="A61" s="542"/>
      <c r="B61" s="49"/>
      <c r="C61" s="49"/>
      <c r="D61" s="50"/>
      <c r="E61" s="528"/>
      <c r="F61" s="529"/>
      <c r="G61" s="529"/>
      <c r="H61" s="529"/>
      <c r="I61" s="529"/>
      <c r="J61" s="530"/>
      <c r="K61" s="529"/>
      <c r="L61" s="529"/>
      <c r="M61" s="529"/>
      <c r="N61" s="529"/>
      <c r="O61" s="529"/>
      <c r="P61" s="532"/>
      <c r="Q61" s="533">
        <f>IF(AND(NOT(ISBLANK(K61)),NOT(ISBLANK(E61))), IF(K61&gt;E61,K61-E61,24-E61+K61), "")</f>
      </c>
      <c r="R61" s="534"/>
      <c r="S61" s="534"/>
      <c r="T61" s="534"/>
      <c r="U61" s="534"/>
      <c r="V61" s="535"/>
      <c r="W61" s="453"/>
      <c r="X61" s="454"/>
      <c r="Y61" s="454"/>
      <c r="Z61" s="454"/>
      <c r="AA61" s="454"/>
      <c r="AB61" s="454"/>
      <c r="AC61" s="454"/>
      <c r="AD61" s="454"/>
      <c r="AE61" s="454"/>
      <c r="AF61" s="454"/>
      <c r="AG61" s="454"/>
      <c r="AH61" s="454"/>
      <c r="AI61" s="454"/>
      <c r="AJ61" s="455"/>
    </row>
    <row r="62" ht="15.75" customHeight="1" spans="1:36" s="35" customFormat="1" x14ac:dyDescent="0.25">
      <c r="A62" s="544"/>
      <c r="B62" s="545"/>
      <c r="C62" s="545"/>
      <c r="D62" s="545"/>
      <c r="E62" s="545"/>
      <c r="F62" s="545"/>
      <c r="G62" s="545"/>
      <c r="H62" s="545"/>
      <c r="I62" s="545"/>
      <c r="J62" s="545"/>
      <c r="K62" s="545"/>
      <c r="L62" s="545"/>
      <c r="M62" s="545"/>
      <c r="N62" s="545"/>
      <c r="O62" s="545"/>
      <c r="P62" s="546"/>
      <c r="Q62" s="547">
        <f>SUM(Q49:V61)</f>
        <v>23.41666666666788</v>
      </c>
      <c r="R62" s="548"/>
      <c r="S62" s="548"/>
      <c r="T62" s="548"/>
      <c r="U62" s="548"/>
      <c r="V62" s="549"/>
      <c r="W62" s="550"/>
      <c r="X62" s="551"/>
      <c r="Y62" s="551"/>
      <c r="Z62" s="551"/>
      <c r="AA62" s="551"/>
      <c r="AB62" s="551"/>
      <c r="AC62" s="551"/>
      <c r="AD62" s="551"/>
      <c r="AE62" s="551"/>
      <c r="AF62" s="551"/>
      <c r="AG62" s="551"/>
      <c r="AH62" s="551"/>
      <c r="AI62" s="551"/>
      <c r="AJ62" s="552"/>
    </row>
    <row r="63" ht="15.75" customHeight="1" hidden="1" spans="1:36" s="524" customFormat="1" x14ac:dyDescent="0.25">
      <c r="A63" s="525" t="s">
        <v>177</v>
      </c>
      <c r="B63" s="526"/>
      <c r="C63" s="526"/>
      <c r="D63" s="527"/>
      <c r="E63" s="528"/>
      <c r="F63" s="529"/>
      <c r="G63" s="529"/>
      <c r="H63" s="529"/>
      <c r="I63" s="529"/>
      <c r="J63" s="530"/>
      <c r="K63" s="531"/>
      <c r="L63" s="529"/>
      <c r="M63" s="529"/>
      <c r="N63" s="529"/>
      <c r="O63" s="529"/>
      <c r="P63" s="532"/>
      <c r="Q63" s="533"/>
      <c r="R63" s="534"/>
      <c r="S63" s="534"/>
      <c r="T63" s="534"/>
      <c r="U63" s="534"/>
      <c r="V63" s="535"/>
      <c r="W63" s="536"/>
      <c r="X63" s="537"/>
      <c r="Y63" s="537"/>
      <c r="Z63" s="537"/>
      <c r="AA63" s="537"/>
      <c r="AB63" s="537"/>
      <c r="AC63" s="537"/>
      <c r="AD63" s="537"/>
      <c r="AE63" s="537"/>
      <c r="AF63" s="537"/>
      <c r="AG63" s="537"/>
      <c r="AH63" s="537"/>
      <c r="AI63" s="537"/>
      <c r="AJ63" s="538"/>
    </row>
    <row r="64" ht="15.75" customHeight="1" hidden="1" spans="1:36" s="524" customFormat="1" x14ac:dyDescent="0.25">
      <c r="A64" s="539"/>
      <c r="B64" s="540"/>
      <c r="C64" s="540"/>
      <c r="D64" s="541"/>
      <c r="E64" s="528"/>
      <c r="F64" s="529"/>
      <c r="G64" s="529"/>
      <c r="H64" s="529"/>
      <c r="I64" s="529"/>
      <c r="J64" s="530"/>
      <c r="K64" s="531"/>
      <c r="L64" s="529"/>
      <c r="M64" s="529"/>
      <c r="N64" s="529"/>
      <c r="O64" s="529"/>
      <c r="P64" s="532"/>
      <c r="Q64" s="533"/>
      <c r="R64" s="534"/>
      <c r="S64" s="534"/>
      <c r="T64" s="534"/>
      <c r="U64" s="534"/>
      <c r="V64" s="535"/>
      <c r="W64" s="453"/>
      <c r="X64" s="454"/>
      <c r="Y64" s="454"/>
      <c r="Z64" s="454"/>
      <c r="AA64" s="454"/>
      <c r="AB64" s="454"/>
      <c r="AC64" s="454"/>
      <c r="AD64" s="454"/>
      <c r="AE64" s="454"/>
      <c r="AF64" s="454"/>
      <c r="AG64" s="454"/>
      <c r="AH64" s="454"/>
      <c r="AI64" s="454"/>
      <c r="AJ64" s="455"/>
    </row>
    <row r="65" ht="15.75" customHeight="1" hidden="1" spans="1:36" s="524" customFormat="1" x14ac:dyDescent="0.25">
      <c r="A65" s="542"/>
      <c r="B65" s="49"/>
      <c r="C65" s="49"/>
      <c r="D65" s="50"/>
      <c r="E65" s="528"/>
      <c r="F65" s="529"/>
      <c r="G65" s="529"/>
      <c r="H65" s="529"/>
      <c r="I65" s="529"/>
      <c r="J65" s="530"/>
      <c r="K65" s="531"/>
      <c r="L65" s="529"/>
      <c r="M65" s="529"/>
      <c r="N65" s="529"/>
      <c r="O65" s="529"/>
      <c r="P65" s="532"/>
      <c r="Q65" s="533"/>
      <c r="R65" s="534"/>
      <c r="S65" s="534"/>
      <c r="T65" s="534"/>
      <c r="U65" s="534"/>
      <c r="V65" s="535"/>
      <c r="W65" s="453"/>
      <c r="X65" s="454"/>
      <c r="Y65" s="454"/>
      <c r="Z65" s="454"/>
      <c r="AA65" s="454"/>
      <c r="AB65" s="454"/>
      <c r="AC65" s="454"/>
      <c r="AD65" s="454"/>
      <c r="AE65" s="454"/>
      <c r="AF65" s="454"/>
      <c r="AG65" s="454"/>
      <c r="AH65" s="454"/>
      <c r="AI65" s="454"/>
      <c r="AJ65" s="455"/>
    </row>
    <row r="66" ht="15.75" customHeight="1" hidden="1" spans="1:36" s="524" customFormat="1" x14ac:dyDescent="0.25">
      <c r="A66" s="542"/>
      <c r="B66" s="49"/>
      <c r="C66" s="49"/>
      <c r="D66" s="50"/>
      <c r="E66" s="528"/>
      <c r="F66" s="529"/>
      <c r="G66" s="529"/>
      <c r="H66" s="529"/>
      <c r="I66" s="529"/>
      <c r="J66" s="530"/>
      <c r="K66" s="529"/>
      <c r="L66" s="529"/>
      <c r="M66" s="529"/>
      <c r="N66" s="529"/>
      <c r="O66" s="529"/>
      <c r="P66" s="532"/>
      <c r="Q66" s="533">
        <f>IF(AND(NOT(ISBLANK(K66)),NOT(ISBLANK(E66))),IF(K66&gt;E66,K66-E66,24-E66+K66),"")</f>
      </c>
      <c r="R66" s="534"/>
      <c r="S66" s="534"/>
      <c r="T66" s="534"/>
      <c r="U66" s="534"/>
      <c r="V66" s="535"/>
      <c r="W66" s="453"/>
      <c r="X66" s="454"/>
      <c r="Y66" s="454"/>
      <c r="Z66" s="454"/>
      <c r="AA66" s="454"/>
      <c r="AB66" s="454"/>
      <c r="AC66" s="454"/>
      <c r="AD66" s="454"/>
      <c r="AE66" s="454"/>
      <c r="AF66" s="454"/>
      <c r="AG66" s="454"/>
      <c r="AH66" s="454"/>
      <c r="AI66" s="454"/>
      <c r="AJ66" s="455"/>
    </row>
    <row r="67" ht="15.75" customHeight="1" hidden="1" spans="1:36" s="524" customFormat="1" x14ac:dyDescent="0.25">
      <c r="A67" s="542"/>
      <c r="B67" s="49"/>
      <c r="C67" s="49"/>
      <c r="D67" s="50"/>
      <c r="E67" s="528"/>
      <c r="F67" s="529"/>
      <c r="G67" s="529"/>
      <c r="H67" s="529"/>
      <c r="I67" s="529"/>
      <c r="J67" s="530"/>
      <c r="K67" s="529"/>
      <c r="L67" s="529"/>
      <c r="M67" s="529"/>
      <c r="N67" s="529"/>
      <c r="O67" s="529"/>
      <c r="P67" s="532"/>
      <c r="Q67" s="533">
        <f>IF(AND(NOT(ISBLANK(K67)),NOT(ISBLANK(E67))),IF(K67&gt;E67,K67-E67,24-E67+K67),"")</f>
      </c>
      <c r="R67" s="534"/>
      <c r="S67" s="534"/>
      <c r="T67" s="534"/>
      <c r="U67" s="534"/>
      <c r="V67" s="535"/>
      <c r="W67" s="453"/>
      <c r="X67" s="454"/>
      <c r="Y67" s="454"/>
      <c r="Z67" s="454"/>
      <c r="AA67" s="454"/>
      <c r="AB67" s="454"/>
      <c r="AC67" s="454"/>
      <c r="AD67" s="454"/>
      <c r="AE67" s="454"/>
      <c r="AF67" s="454"/>
      <c r="AG67" s="454"/>
      <c r="AH67" s="454"/>
      <c r="AI67" s="454"/>
      <c r="AJ67" s="455"/>
    </row>
    <row r="68" ht="15.75" customHeight="1" hidden="1" spans="1:36" s="524" customFormat="1" x14ac:dyDescent="0.25">
      <c r="A68" s="542"/>
      <c r="B68" s="49"/>
      <c r="C68" s="49"/>
      <c r="D68" s="50"/>
      <c r="E68" s="528"/>
      <c r="F68" s="529"/>
      <c r="G68" s="529"/>
      <c r="H68" s="529"/>
      <c r="I68" s="529"/>
      <c r="J68" s="530"/>
      <c r="K68" s="531"/>
      <c r="L68" s="529"/>
      <c r="M68" s="529"/>
      <c r="N68" s="529"/>
      <c r="O68" s="529"/>
      <c r="P68" s="532"/>
      <c r="Q68" s="533">
        <f>IF(AND(NOT(ISBLANK(K68)),NOT(ISBLANK(E68))), IF(K68&gt;E68,K68-E68,24-E68+K68), "")</f>
      </c>
      <c r="R68" s="534"/>
      <c r="S68" s="534"/>
      <c r="T68" s="534"/>
      <c r="U68" s="534"/>
      <c r="V68" s="535"/>
      <c r="W68" s="453"/>
      <c r="X68" s="454"/>
      <c r="Y68" s="454"/>
      <c r="Z68" s="454"/>
      <c r="AA68" s="454"/>
      <c r="AB68" s="454"/>
      <c r="AC68" s="454"/>
      <c r="AD68" s="454"/>
      <c r="AE68" s="454"/>
      <c r="AF68" s="454"/>
      <c r="AG68" s="454"/>
      <c r="AH68" s="454"/>
      <c r="AI68" s="454"/>
      <c r="AJ68" s="455"/>
    </row>
    <row r="69" ht="15.75" customHeight="1" hidden="1" spans="1:36" s="524" customFormat="1" x14ac:dyDescent="0.25">
      <c r="A69" s="542"/>
      <c r="B69" s="49"/>
      <c r="C69" s="49"/>
      <c r="D69" s="50"/>
      <c r="E69" s="528"/>
      <c r="F69" s="529"/>
      <c r="G69" s="529"/>
      <c r="H69" s="529"/>
      <c r="I69" s="529"/>
      <c r="J69" s="530"/>
      <c r="K69" s="529"/>
      <c r="L69" s="529"/>
      <c r="M69" s="529"/>
      <c r="N69" s="529"/>
      <c r="O69" s="529"/>
      <c r="P69" s="532"/>
      <c r="Q69" s="533">
        <f>IF(AND(NOT(ISBLANK(K69)),NOT(ISBLANK(E69))), IF(K69&gt;E69,K69-E69,24-E69+K69), "")</f>
      </c>
      <c r="R69" s="534"/>
      <c r="S69" s="534"/>
      <c r="T69" s="534"/>
      <c r="U69" s="534"/>
      <c r="V69" s="535"/>
      <c r="W69" s="453"/>
      <c r="X69" s="454"/>
      <c r="Y69" s="454"/>
      <c r="Z69" s="454"/>
      <c r="AA69" s="454"/>
      <c r="AB69" s="454"/>
      <c r="AC69" s="454"/>
      <c r="AD69" s="454"/>
      <c r="AE69" s="454"/>
      <c r="AF69" s="454"/>
      <c r="AG69" s="454"/>
      <c r="AH69" s="454"/>
      <c r="AI69" s="454"/>
      <c r="AJ69" s="455"/>
    </row>
    <row r="70" ht="15.75" customHeight="1" hidden="1" spans="1:36" s="524" customFormat="1" x14ac:dyDescent="0.25">
      <c r="A70" s="543"/>
      <c r="B70" s="540"/>
      <c r="C70" s="540"/>
      <c r="D70" s="541"/>
      <c r="E70" s="528"/>
      <c r="F70" s="529"/>
      <c r="G70" s="529"/>
      <c r="H70" s="529"/>
      <c r="I70" s="529"/>
      <c r="J70" s="530"/>
      <c r="K70" s="529"/>
      <c r="L70" s="529"/>
      <c r="M70" s="529"/>
      <c r="N70" s="529"/>
      <c r="O70" s="529"/>
      <c r="P70" s="532"/>
      <c r="Q70" s="533">
        <f>IF(AND(NOT(ISBLANK(K70)),NOT(ISBLANK(E70))), IF(K70&gt;E70,K70-E70,24-E70+K70), "")</f>
      </c>
      <c r="R70" s="534"/>
      <c r="S70" s="534"/>
      <c r="T70" s="534"/>
      <c r="U70" s="534"/>
      <c r="V70" s="535"/>
      <c r="W70" s="453"/>
      <c r="X70" s="454"/>
      <c r="Y70" s="454"/>
      <c r="Z70" s="454"/>
      <c r="AA70" s="454"/>
      <c r="AB70" s="454"/>
      <c r="AC70" s="454"/>
      <c r="AD70" s="454"/>
      <c r="AE70" s="454"/>
      <c r="AF70" s="454"/>
      <c r="AG70" s="454"/>
      <c r="AH70" s="454"/>
      <c r="AI70" s="454"/>
      <c r="AJ70" s="455"/>
    </row>
    <row r="71" ht="15.75" customHeight="1" hidden="1" spans="1:36" s="524" customFormat="1" x14ac:dyDescent="0.25">
      <c r="A71" s="542"/>
      <c r="B71" s="49"/>
      <c r="C71" s="49"/>
      <c r="D71" s="50"/>
      <c r="E71" s="528"/>
      <c r="F71" s="529"/>
      <c r="G71" s="529"/>
      <c r="H71" s="529"/>
      <c r="I71" s="529"/>
      <c r="J71" s="530"/>
      <c r="K71" s="529"/>
      <c r="L71" s="529"/>
      <c r="M71" s="529"/>
      <c r="N71" s="529"/>
      <c r="O71" s="529"/>
      <c r="P71" s="532"/>
      <c r="Q71" s="533">
        <f>IF(AND(NOT(ISBLANK(K71)),NOT(ISBLANK(E71))), IF(K71&gt;E71,K71-E71,24-E71+K71), "")</f>
      </c>
      <c r="R71" s="534"/>
      <c r="S71" s="534"/>
      <c r="T71" s="534"/>
      <c r="U71" s="534"/>
      <c r="V71" s="535"/>
      <c r="W71" s="453"/>
      <c r="X71" s="454"/>
      <c r="Y71" s="454"/>
      <c r="Z71" s="454"/>
      <c r="AA71" s="454"/>
      <c r="AB71" s="454"/>
      <c r="AC71" s="454"/>
      <c r="AD71" s="454"/>
      <c r="AE71" s="454"/>
      <c r="AF71" s="454"/>
      <c r="AG71" s="454"/>
      <c r="AH71" s="454"/>
      <c r="AI71" s="454"/>
      <c r="AJ71" s="455"/>
    </row>
    <row r="72" ht="15.75" customHeight="1" hidden="1" spans="1:36" s="524" customFormat="1" x14ac:dyDescent="0.25">
      <c r="A72" s="542"/>
      <c r="B72" s="49"/>
      <c r="C72" s="49"/>
      <c r="D72" s="50"/>
      <c r="E72" s="528"/>
      <c r="F72" s="529"/>
      <c r="G72" s="529"/>
      <c r="H72" s="529"/>
      <c r="I72" s="529"/>
      <c r="J72" s="530"/>
      <c r="K72" s="529"/>
      <c r="L72" s="529"/>
      <c r="M72" s="529"/>
      <c r="N72" s="529"/>
      <c r="O72" s="529"/>
      <c r="P72" s="532"/>
      <c r="Q72" s="533">
        <f>IF(AND(NOT(ISBLANK(K72)),NOT(ISBLANK(E72))),IF(K72&gt;E72,K72-E72,24-E72+K72),"")</f>
      </c>
      <c r="R72" s="534"/>
      <c r="S72" s="534"/>
      <c r="T72" s="534"/>
      <c r="U72" s="534"/>
      <c r="V72" s="535"/>
      <c r="W72" s="453"/>
      <c r="X72" s="454"/>
      <c r="Y72" s="454"/>
      <c r="Z72" s="454"/>
      <c r="AA72" s="454"/>
      <c r="AB72" s="454"/>
      <c r="AC72" s="454"/>
      <c r="AD72" s="454"/>
      <c r="AE72" s="454"/>
      <c r="AF72" s="454"/>
      <c r="AG72" s="454"/>
      <c r="AH72" s="454"/>
      <c r="AI72" s="454"/>
      <c r="AJ72" s="455"/>
    </row>
    <row r="73" ht="15.75" customHeight="1" hidden="1" spans="1:36" s="524" customFormat="1" x14ac:dyDescent="0.25">
      <c r="A73" s="542"/>
      <c r="B73" s="49"/>
      <c r="C73" s="49"/>
      <c r="D73" s="50"/>
      <c r="E73" s="528"/>
      <c r="F73" s="529"/>
      <c r="G73" s="529"/>
      <c r="H73" s="529"/>
      <c r="I73" s="529"/>
      <c r="J73" s="530"/>
      <c r="K73" s="529"/>
      <c r="L73" s="529"/>
      <c r="M73" s="529"/>
      <c r="N73" s="529"/>
      <c r="O73" s="529"/>
      <c r="P73" s="532"/>
      <c r="Q73" s="533">
        <f>IF(AND(NOT(ISBLANK(K73)),NOT(ISBLANK(E73))),IF(K73&gt;E73,K73-E73,24-E73+K73),"")</f>
      </c>
      <c r="R73" s="534"/>
      <c r="S73" s="534"/>
      <c r="T73" s="534"/>
      <c r="U73" s="534"/>
      <c r="V73" s="535"/>
      <c r="W73" s="553"/>
      <c r="X73" s="554"/>
      <c r="Y73" s="554"/>
      <c r="Z73" s="554"/>
      <c r="AA73" s="554"/>
      <c r="AB73" s="554"/>
      <c r="AC73" s="554"/>
      <c r="AD73" s="554"/>
      <c r="AE73" s="554"/>
      <c r="AF73" s="554"/>
      <c r="AG73" s="554"/>
      <c r="AH73" s="554"/>
      <c r="AI73" s="554"/>
      <c r="AJ73" s="555"/>
    </row>
    <row r="74" ht="15.75" customHeight="1" hidden="1" spans="1:36" s="524" customFormat="1" x14ac:dyDescent="0.25">
      <c r="A74" s="542"/>
      <c r="B74" s="49"/>
      <c r="C74" s="49"/>
      <c r="D74" s="50"/>
      <c r="E74" s="528"/>
      <c r="F74" s="529"/>
      <c r="G74" s="529"/>
      <c r="H74" s="529"/>
      <c r="I74" s="529"/>
      <c r="J74" s="530"/>
      <c r="K74" s="529"/>
      <c r="L74" s="529"/>
      <c r="M74" s="529"/>
      <c r="N74" s="529"/>
      <c r="O74" s="529"/>
      <c r="P74" s="532"/>
      <c r="Q74" s="533">
        <f>IF(AND(NOT(ISBLANK(K74)),NOT(ISBLANK(E74))),IF(K74&gt;E74,K74-E74,24-E74+K74),"")</f>
      </c>
      <c r="R74" s="534"/>
      <c r="S74" s="534"/>
      <c r="T74" s="534"/>
      <c r="U74" s="534"/>
      <c r="V74" s="535"/>
      <c r="W74" s="453"/>
      <c r="X74" s="454"/>
      <c r="Y74" s="454"/>
      <c r="Z74" s="454"/>
      <c r="AA74" s="454"/>
      <c r="AB74" s="454"/>
      <c r="AC74" s="454"/>
      <c r="AD74" s="454"/>
      <c r="AE74" s="454"/>
      <c r="AF74" s="454"/>
      <c r="AG74" s="454"/>
      <c r="AH74" s="454"/>
      <c r="AI74" s="454"/>
      <c r="AJ74" s="455"/>
    </row>
    <row r="75" ht="15.75" customHeight="1" hidden="1" spans="1:36" s="524" customFormat="1" x14ac:dyDescent="0.25">
      <c r="A75" s="542"/>
      <c r="B75" s="49"/>
      <c r="C75" s="49"/>
      <c r="D75" s="50"/>
      <c r="E75" s="528"/>
      <c r="F75" s="529"/>
      <c r="G75" s="529"/>
      <c r="H75" s="529"/>
      <c r="I75" s="529"/>
      <c r="J75" s="530"/>
      <c r="K75" s="529"/>
      <c r="L75" s="529"/>
      <c r="M75" s="529"/>
      <c r="N75" s="529"/>
      <c r="O75" s="529"/>
      <c r="P75" s="532"/>
      <c r="Q75" s="533">
        <f>IF(AND(NOT(ISBLANK(K75)),NOT(ISBLANK(E75))),IF(K75&gt;E75,K75-E75,24-E75+K75),"")</f>
      </c>
      <c r="R75" s="534"/>
      <c r="S75" s="534"/>
      <c r="T75" s="534"/>
      <c r="U75" s="534"/>
      <c r="V75" s="535"/>
      <c r="W75" s="453"/>
      <c r="X75" s="454"/>
      <c r="Y75" s="454"/>
      <c r="Z75" s="454"/>
      <c r="AA75" s="454"/>
      <c r="AB75" s="454"/>
      <c r="AC75" s="454"/>
      <c r="AD75" s="454"/>
      <c r="AE75" s="454"/>
      <c r="AF75" s="454"/>
      <c r="AG75" s="454"/>
      <c r="AH75" s="454"/>
      <c r="AI75" s="454"/>
      <c r="AJ75" s="455"/>
    </row>
    <row r="76" ht="15.75" customHeight="1" hidden="1" spans="1:36" s="524" customFormat="1" x14ac:dyDescent="0.25">
      <c r="A76" s="542"/>
      <c r="B76" s="49"/>
      <c r="C76" s="49"/>
      <c r="D76" s="50"/>
      <c r="E76" s="528"/>
      <c r="F76" s="529"/>
      <c r="G76" s="529"/>
      <c r="H76" s="529"/>
      <c r="I76" s="529"/>
      <c r="J76" s="530"/>
      <c r="K76" s="529"/>
      <c r="L76" s="529"/>
      <c r="M76" s="529"/>
      <c r="N76" s="529"/>
      <c r="O76" s="529"/>
      <c r="P76" s="532"/>
      <c r="Q76" s="533">
        <f>IF(AND(NOT(ISBLANK(K76)),NOT(ISBLANK(E76))), IF(K76&gt;E76,K76-E76,24-E76+K76), "")</f>
      </c>
      <c r="R76" s="534"/>
      <c r="S76" s="534"/>
      <c r="T76" s="534"/>
      <c r="U76" s="534"/>
      <c r="V76" s="535"/>
      <c r="W76" s="453"/>
      <c r="X76" s="454"/>
      <c r="Y76" s="454"/>
      <c r="Z76" s="454"/>
      <c r="AA76" s="454"/>
      <c r="AB76" s="454"/>
      <c r="AC76" s="454"/>
      <c r="AD76" s="454"/>
      <c r="AE76" s="454"/>
      <c r="AF76" s="454"/>
      <c r="AG76" s="454"/>
      <c r="AH76" s="454"/>
      <c r="AI76" s="454"/>
      <c r="AJ76" s="455"/>
    </row>
    <row r="77" ht="15.75" customHeight="1" hidden="1" spans="1:36" s="524" customFormat="1" x14ac:dyDescent="0.25">
      <c r="A77" s="542"/>
      <c r="B77" s="49"/>
      <c r="C77" s="49"/>
      <c r="D77" s="50"/>
      <c r="E77" s="528"/>
      <c r="F77" s="529"/>
      <c r="G77" s="529"/>
      <c r="H77" s="529"/>
      <c r="I77" s="529"/>
      <c r="J77" s="530"/>
      <c r="K77" s="529"/>
      <c r="L77" s="529"/>
      <c r="M77" s="529"/>
      <c r="N77" s="529"/>
      <c r="O77" s="529"/>
      <c r="P77" s="532"/>
      <c r="Q77" s="533">
        <f>IF(AND(NOT(ISBLANK(K77)),NOT(ISBLANK(E77))), IF(K77&gt;E77,K77-E77,24-E77+K77), "")</f>
      </c>
      <c r="R77" s="534"/>
      <c r="S77" s="534"/>
      <c r="T77" s="534"/>
      <c r="U77" s="534"/>
      <c r="V77" s="535"/>
      <c r="W77" s="453"/>
      <c r="X77" s="454"/>
      <c r="Y77" s="454"/>
      <c r="Z77" s="454"/>
      <c r="AA77" s="454"/>
      <c r="AB77" s="454"/>
      <c r="AC77" s="454"/>
      <c r="AD77" s="454"/>
      <c r="AE77" s="454"/>
      <c r="AF77" s="454"/>
      <c r="AG77" s="454"/>
      <c r="AH77" s="454"/>
      <c r="AI77" s="454"/>
      <c r="AJ77" s="455"/>
    </row>
    <row r="78" ht="15.75" customHeight="1" hidden="1" spans="1:36" s="35" customFormat="1" x14ac:dyDescent="0.25">
      <c r="A78" s="544"/>
      <c r="B78" s="545"/>
      <c r="C78" s="545"/>
      <c r="D78" s="545"/>
      <c r="E78" s="545"/>
      <c r="F78" s="545"/>
      <c r="G78" s="545"/>
      <c r="H78" s="545"/>
      <c r="I78" s="545"/>
      <c r="J78" s="545"/>
      <c r="K78" s="545"/>
      <c r="L78" s="545"/>
      <c r="M78" s="545"/>
      <c r="N78" s="545"/>
      <c r="O78" s="545"/>
      <c r="P78" s="546"/>
      <c r="Q78" s="547">
        <f>SUM(Q63:V77)</f>
        <v>0</v>
      </c>
      <c r="R78" s="548"/>
      <c r="S78" s="548"/>
      <c r="T78" s="548"/>
      <c r="U78" s="548"/>
      <c r="V78" s="549"/>
      <c r="W78" s="550"/>
      <c r="X78" s="551"/>
      <c r="Y78" s="551"/>
      <c r="Z78" s="551"/>
      <c r="AA78" s="551"/>
      <c r="AB78" s="551"/>
      <c r="AC78" s="551"/>
      <c r="AD78" s="551"/>
      <c r="AE78" s="551"/>
      <c r="AF78" s="551"/>
      <c r="AG78" s="551"/>
      <c r="AH78" s="551"/>
      <c r="AI78" s="551"/>
      <c r="AJ78" s="552"/>
    </row>
    <row r="79" spans="1:25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 spans="1:25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 spans="1:25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 spans="1:25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spans="1:25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</sheetData>
  <mergeCells count="336">
    <mergeCell ref="A1:AJ1"/>
    <mergeCell ref="A2:AJ2"/>
    <mergeCell ref="A4:AJ4"/>
    <mergeCell ref="A5:AJ5"/>
    <mergeCell ref="D6:N6"/>
    <mergeCell ref="R6:W6"/>
    <mergeCell ref="Y6:AA6"/>
    <mergeCell ref="AB6:AJ6"/>
    <mergeCell ref="A7:AJ7"/>
    <mergeCell ref="D8:I8"/>
    <mergeCell ref="R8:W8"/>
    <mergeCell ref="Y8:AA8"/>
    <mergeCell ref="AB8:AJ8"/>
    <mergeCell ref="A9:AJ9"/>
    <mergeCell ref="A10:G10"/>
    <mergeCell ref="H10:O10"/>
    <mergeCell ref="P10:W10"/>
    <mergeCell ref="X10:Z11"/>
    <mergeCell ref="AA10:AJ11"/>
    <mergeCell ref="A11:G11"/>
    <mergeCell ref="H11:I11"/>
    <mergeCell ref="J11:K11"/>
    <mergeCell ref="L11:M11"/>
    <mergeCell ref="N11:O11"/>
    <mergeCell ref="P11:Q11"/>
    <mergeCell ref="R11:S11"/>
    <mergeCell ref="T11:U11"/>
    <mergeCell ref="V11:W11"/>
    <mergeCell ref="A12:C18"/>
    <mergeCell ref="X12:Z12"/>
    <mergeCell ref="AA12:AJ12"/>
    <mergeCell ref="X13:Z13"/>
    <mergeCell ref="AA13:AJ13"/>
    <mergeCell ref="X14:Z14"/>
    <mergeCell ref="AA14:AJ14"/>
    <mergeCell ref="X15:Z15"/>
    <mergeCell ref="AA15:AJ15"/>
    <mergeCell ref="X16:Z16"/>
    <mergeCell ref="AA16:AJ16"/>
    <mergeCell ref="X17:Z17"/>
    <mergeCell ref="AA17:AJ17"/>
    <mergeCell ref="D18:G18"/>
    <mergeCell ref="H18:I18"/>
    <mergeCell ref="J18:K18"/>
    <mergeCell ref="L18:M18"/>
    <mergeCell ref="N18:O18"/>
    <mergeCell ref="P18:Q18"/>
    <mergeCell ref="R18:S18"/>
    <mergeCell ref="T18:U18"/>
    <mergeCell ref="V18:W18"/>
    <mergeCell ref="X18:Z18"/>
    <mergeCell ref="AA18:AJ18"/>
    <mergeCell ref="A19:C26"/>
    <mergeCell ref="X19:Z19"/>
    <mergeCell ref="AA19:AJ19"/>
    <mergeCell ref="X20:Z20"/>
    <mergeCell ref="AA20:AJ20"/>
    <mergeCell ref="X21:Z21"/>
    <mergeCell ref="AA21:AJ21"/>
    <mergeCell ref="X22:Z22"/>
    <mergeCell ref="AA22:AJ22"/>
    <mergeCell ref="X23:Z23"/>
    <mergeCell ref="AA23:AJ23"/>
    <mergeCell ref="X24:Z24"/>
    <mergeCell ref="AA24:AJ24"/>
    <mergeCell ref="X25:Z25"/>
    <mergeCell ref="AA25:AJ25"/>
    <mergeCell ref="D26:G26"/>
    <mergeCell ref="H26:I26"/>
    <mergeCell ref="J26:K26"/>
    <mergeCell ref="L26:M26"/>
    <mergeCell ref="N26:O26"/>
    <mergeCell ref="P26:Q26"/>
    <mergeCell ref="R26:S26"/>
    <mergeCell ref="T26:U26"/>
    <mergeCell ref="V26:W26"/>
    <mergeCell ref="X26:Z26"/>
    <mergeCell ref="AA26:AJ26"/>
    <mergeCell ref="A27:C28"/>
    <mergeCell ref="D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Z27"/>
    <mergeCell ref="AA27:AJ27"/>
    <mergeCell ref="D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Z28"/>
    <mergeCell ref="AA28:AJ28"/>
    <mergeCell ref="A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Z29"/>
    <mergeCell ref="AA29:AJ29"/>
    <mergeCell ref="A33:D33"/>
    <mergeCell ref="E33:J33"/>
    <mergeCell ref="K33:P33"/>
    <mergeCell ref="Q33:V33"/>
    <mergeCell ref="W33:AJ33"/>
    <mergeCell ref="A34:D34"/>
    <mergeCell ref="E34:J34"/>
    <mergeCell ref="K34:P34"/>
    <mergeCell ref="Q34:V34"/>
    <mergeCell ref="W34:AJ34"/>
    <mergeCell ref="A35:D35"/>
    <mergeCell ref="E35:J35"/>
    <mergeCell ref="K35:P35"/>
    <mergeCell ref="Q35:V35"/>
    <mergeCell ref="W35:AJ35"/>
    <mergeCell ref="A36:D36"/>
    <mergeCell ref="E36:J36"/>
    <mergeCell ref="K36:P36"/>
    <mergeCell ref="Q36:V36"/>
    <mergeCell ref="W36:AJ36"/>
    <mergeCell ref="A37:D37"/>
    <mergeCell ref="E37:J37"/>
    <mergeCell ref="K37:P37"/>
    <mergeCell ref="Q37:V37"/>
    <mergeCell ref="W37:AJ37"/>
    <mergeCell ref="A38:D38"/>
    <mergeCell ref="E38:J38"/>
    <mergeCell ref="K38:P38"/>
    <mergeCell ref="Q38:V38"/>
    <mergeCell ref="W38:AJ38"/>
    <mergeCell ref="A39:D39"/>
    <mergeCell ref="E39:J39"/>
    <mergeCell ref="K39:P39"/>
    <mergeCell ref="Q39:V39"/>
    <mergeCell ref="W39:AJ39"/>
    <mergeCell ref="A40:D40"/>
    <mergeCell ref="E40:J40"/>
    <mergeCell ref="K40:P40"/>
    <mergeCell ref="Q40:V40"/>
    <mergeCell ref="W40:AJ40"/>
    <mergeCell ref="A41:D41"/>
    <mergeCell ref="E41:J41"/>
    <mergeCell ref="K41:P41"/>
    <mergeCell ref="Q41:V41"/>
    <mergeCell ref="W41:AJ41"/>
    <mergeCell ref="A42:D42"/>
    <mergeCell ref="E42:J42"/>
    <mergeCell ref="K42:P42"/>
    <mergeCell ref="Q42:V42"/>
    <mergeCell ref="W42:AJ42"/>
    <mergeCell ref="A43:D43"/>
    <mergeCell ref="E43:J43"/>
    <mergeCell ref="K43:P43"/>
    <mergeCell ref="Q43:V43"/>
    <mergeCell ref="W43:AJ43"/>
    <mergeCell ref="A44:D44"/>
    <mergeCell ref="E44:J44"/>
    <mergeCell ref="K44:P44"/>
    <mergeCell ref="Q44:V44"/>
    <mergeCell ref="W44:AJ44"/>
    <mergeCell ref="A45:D45"/>
    <mergeCell ref="E45:J45"/>
    <mergeCell ref="K45:P45"/>
    <mergeCell ref="Q45:V45"/>
    <mergeCell ref="W45:AJ45"/>
    <mergeCell ref="A46:D46"/>
    <mergeCell ref="E46:J46"/>
    <mergeCell ref="K46:P46"/>
    <mergeCell ref="Q46:V46"/>
    <mergeCell ref="W46:AJ46"/>
    <mergeCell ref="A47:D47"/>
    <mergeCell ref="E47:J47"/>
    <mergeCell ref="K47:P47"/>
    <mergeCell ref="Q47:V47"/>
    <mergeCell ref="W47:AJ47"/>
    <mergeCell ref="A48:P48"/>
    <mergeCell ref="Q48:V48"/>
    <mergeCell ref="W48:AJ48"/>
    <mergeCell ref="A49:D49"/>
    <mergeCell ref="E49:J49"/>
    <mergeCell ref="K49:P49"/>
    <mergeCell ref="Q49:V49"/>
    <mergeCell ref="W49:AJ49"/>
    <mergeCell ref="A50:D50"/>
    <mergeCell ref="E50:J50"/>
    <mergeCell ref="K50:P50"/>
    <mergeCell ref="Q50:V50"/>
    <mergeCell ref="W50:AJ50"/>
    <mergeCell ref="A51:D51"/>
    <mergeCell ref="E51:J51"/>
    <mergeCell ref="K51:P51"/>
    <mergeCell ref="Q51:V51"/>
    <mergeCell ref="W51:AJ51"/>
    <mergeCell ref="A52:D52"/>
    <mergeCell ref="E52:J52"/>
    <mergeCell ref="K52:P52"/>
    <mergeCell ref="Q52:V52"/>
    <mergeCell ref="W52:AJ52"/>
    <mergeCell ref="A53:D53"/>
    <mergeCell ref="E53:J53"/>
    <mergeCell ref="K53:P53"/>
    <mergeCell ref="Q53:V53"/>
    <mergeCell ref="W53:AJ53"/>
    <mergeCell ref="A54:D54"/>
    <mergeCell ref="E54:J54"/>
    <mergeCell ref="K54:P54"/>
    <mergeCell ref="Q54:V54"/>
    <mergeCell ref="W54:AJ54"/>
    <mergeCell ref="A55:D55"/>
    <mergeCell ref="E55:J55"/>
    <mergeCell ref="K55:P55"/>
    <mergeCell ref="Q55:V55"/>
    <mergeCell ref="W55:AJ55"/>
    <mergeCell ref="A56:D56"/>
    <mergeCell ref="E56:J56"/>
    <mergeCell ref="K56:P56"/>
    <mergeCell ref="Q56:V56"/>
    <mergeCell ref="W56:AJ56"/>
    <mergeCell ref="A57:D57"/>
    <mergeCell ref="E57:J57"/>
    <mergeCell ref="K57:P57"/>
    <mergeCell ref="Q57:V57"/>
    <mergeCell ref="W57:AJ57"/>
    <mergeCell ref="A58:D58"/>
    <mergeCell ref="E58:J58"/>
    <mergeCell ref="K58:P58"/>
    <mergeCell ref="Q58:V58"/>
    <mergeCell ref="W58:AJ58"/>
    <mergeCell ref="A59:D59"/>
    <mergeCell ref="E59:J59"/>
    <mergeCell ref="K59:P59"/>
    <mergeCell ref="Q59:V59"/>
    <mergeCell ref="W59:AJ59"/>
    <mergeCell ref="A60:D60"/>
    <mergeCell ref="E60:J60"/>
    <mergeCell ref="K60:P60"/>
    <mergeCell ref="Q60:V60"/>
    <mergeCell ref="W60:AJ60"/>
    <mergeCell ref="A61:D61"/>
    <mergeCell ref="E61:J61"/>
    <mergeCell ref="K61:P61"/>
    <mergeCell ref="Q61:V61"/>
    <mergeCell ref="W61:AJ61"/>
    <mergeCell ref="A62:P62"/>
    <mergeCell ref="Q62:V62"/>
    <mergeCell ref="W62:AJ62"/>
    <mergeCell ref="A63:D63"/>
    <mergeCell ref="E63:J63"/>
    <mergeCell ref="K63:P63"/>
    <mergeCell ref="Q63:V63"/>
    <mergeCell ref="W63:AJ63"/>
    <mergeCell ref="A64:D64"/>
    <mergeCell ref="E64:J64"/>
    <mergeCell ref="K64:P64"/>
    <mergeCell ref="Q64:V64"/>
    <mergeCell ref="W64:AJ64"/>
    <mergeCell ref="A65:D65"/>
    <mergeCell ref="E65:J65"/>
    <mergeCell ref="K65:P65"/>
    <mergeCell ref="Q65:V65"/>
    <mergeCell ref="W65:AJ65"/>
    <mergeCell ref="A66:D66"/>
    <mergeCell ref="E66:J66"/>
    <mergeCell ref="K66:P66"/>
    <mergeCell ref="Q66:V66"/>
    <mergeCell ref="W66:AJ66"/>
    <mergeCell ref="A67:D67"/>
    <mergeCell ref="E67:J67"/>
    <mergeCell ref="K67:P67"/>
    <mergeCell ref="Q67:V67"/>
    <mergeCell ref="W67:AJ67"/>
    <mergeCell ref="A68:D68"/>
    <mergeCell ref="E68:J68"/>
    <mergeCell ref="K68:P68"/>
    <mergeCell ref="Q68:V68"/>
    <mergeCell ref="W68:AJ68"/>
    <mergeCell ref="A69:D69"/>
    <mergeCell ref="E69:J69"/>
    <mergeCell ref="K69:P69"/>
    <mergeCell ref="Q69:V69"/>
    <mergeCell ref="W69:AJ69"/>
    <mergeCell ref="A70:D70"/>
    <mergeCell ref="E70:J70"/>
    <mergeCell ref="K70:P70"/>
    <mergeCell ref="Q70:V70"/>
    <mergeCell ref="W70:AJ70"/>
    <mergeCell ref="A71:D71"/>
    <mergeCell ref="E71:J71"/>
    <mergeCell ref="K71:P71"/>
    <mergeCell ref="Q71:V71"/>
    <mergeCell ref="W71:AJ71"/>
    <mergeCell ref="A72:D72"/>
    <mergeCell ref="E72:J72"/>
    <mergeCell ref="K72:P72"/>
    <mergeCell ref="Q72:V72"/>
    <mergeCell ref="W72:AJ72"/>
    <mergeCell ref="A73:D73"/>
    <mergeCell ref="E73:J73"/>
    <mergeCell ref="K73:P73"/>
    <mergeCell ref="Q73:V73"/>
    <mergeCell ref="W73:AJ73"/>
    <mergeCell ref="A74:D74"/>
    <mergeCell ref="E74:J74"/>
    <mergeCell ref="K74:P74"/>
    <mergeCell ref="Q74:V74"/>
    <mergeCell ref="W74:AJ74"/>
    <mergeCell ref="A75:D75"/>
    <mergeCell ref="E75:J75"/>
    <mergeCell ref="K75:P75"/>
    <mergeCell ref="Q75:V75"/>
    <mergeCell ref="W75:AJ75"/>
    <mergeCell ref="A76:D76"/>
    <mergeCell ref="E76:J76"/>
    <mergeCell ref="K76:P76"/>
    <mergeCell ref="Q76:V76"/>
    <mergeCell ref="W76:AJ76"/>
    <mergeCell ref="A77:D77"/>
    <mergeCell ref="E77:J77"/>
    <mergeCell ref="K77:P77"/>
    <mergeCell ref="Q77:V77"/>
    <mergeCell ref="W77:AJ77"/>
    <mergeCell ref="A78:P78"/>
    <mergeCell ref="Q78:V78"/>
    <mergeCell ref="W78:AJ78"/>
  </mergeCells>
  <printOptions horizontalCentered="1" verticalCentered="1"/>
  <pageMargins left="0.314958" right="0.314958" top="0.196847" bottom="0.196847" header="0.196847" footer="0.157472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Final Work</vt:lpstr>
      <vt:lpstr>Time Sheet</vt:lpstr>
      <vt:lpstr>OS-IN</vt:lpstr>
      <vt:lpstr>DM-IN</vt:lpstr>
      <vt:lpstr>OS-OUT</vt:lpstr>
      <vt:lpstr>DM-OUT</vt:lpstr>
      <vt:lpstr>Act. Cntr-Seal No List</vt:lpstr>
      <vt:lpstr>RF Condition Report</vt:lpstr>
      <vt:lpstr>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</dc:creator>
  <cp:lastModifiedBy>GMN26</cp:lastModifiedBy>
  <cp:lastPrinted>2026-07-24T20:46:06Z</cp:lastPrinted>
  <dcterms:created xsi:type="dcterms:W3CDTF">2016-08-02T06:12:57Z</dcterms:created>
  <dcterms:modified xsi:type="dcterms:W3CDTF">2026-07-24T20:51:04Z</dcterms:modified>
</cp:coreProperties>
</file>